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rojects\GraphST\"/>
    </mc:Choice>
  </mc:AlternateContent>
  <xr:revisionPtr revIDLastSave="0" documentId="13_ncr:1_{BB58A65C-1B32-4380-AEFA-D2FCDC9236E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8" i="1" l="1"/>
  <c r="D248" i="1"/>
  <c r="E248" i="1"/>
  <c r="F248" i="1"/>
  <c r="G248" i="1"/>
  <c r="H248" i="1"/>
  <c r="I248" i="1"/>
  <c r="J248" i="1"/>
  <c r="K248" i="1"/>
  <c r="L248" i="1"/>
  <c r="M248" i="1"/>
  <c r="B248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I284" i="1"/>
  <c r="J189" i="1"/>
  <c r="N208" i="1"/>
  <c r="N209" i="1"/>
  <c r="N210" i="1"/>
  <c r="N211" i="1"/>
  <c r="N212" i="1"/>
  <c r="N213" i="1"/>
  <c r="N214" i="1"/>
  <c r="N215" i="1"/>
  <c r="N216" i="1"/>
  <c r="N342" i="1"/>
  <c r="C279" i="1"/>
  <c r="D279" i="1"/>
  <c r="E279" i="1"/>
  <c r="F279" i="1"/>
  <c r="G279" i="1"/>
  <c r="H279" i="1"/>
  <c r="I279" i="1"/>
  <c r="J279" i="1"/>
  <c r="K279" i="1"/>
  <c r="L279" i="1"/>
  <c r="M279" i="1"/>
  <c r="B279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34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21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290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58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27" i="1"/>
  <c r="N197" i="1"/>
  <c r="N198" i="1"/>
  <c r="N199" i="1"/>
  <c r="N200" i="1"/>
  <c r="N201" i="1"/>
  <c r="N202" i="1"/>
  <c r="N203" i="1"/>
  <c r="N204" i="1"/>
  <c r="N205" i="1"/>
  <c r="N206" i="1"/>
  <c r="N207" i="1"/>
  <c r="N196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64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30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99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67" i="1"/>
</calcChain>
</file>

<file path=xl/sharedStrings.xml><?xml version="1.0" encoding="utf-8"?>
<sst xmlns="http://schemas.openxmlformats.org/spreadsheetml/2006/main" count="628" uniqueCount="116">
  <si>
    <t>ARI</t>
  </si>
  <si>
    <t>Method</t>
  </si>
  <si>
    <t>151507</t>
  </si>
  <si>
    <t>151508</t>
  </si>
  <si>
    <t>151509</t>
  </si>
  <si>
    <t>151510</t>
  </si>
  <si>
    <t>151669</t>
  </si>
  <si>
    <t>151670</t>
  </si>
  <si>
    <t>151671</t>
  </si>
  <si>
    <t>151672</t>
  </si>
  <si>
    <t>151673</t>
  </si>
  <si>
    <t>151674</t>
  </si>
  <si>
    <t>151675</t>
  </si>
  <si>
    <t>conST</t>
  </si>
  <si>
    <t>DeepST</t>
  </si>
  <si>
    <t>SpaceFlow</t>
  </si>
  <si>
    <t>STAGATE</t>
  </si>
  <si>
    <t>SpaGCN</t>
  </si>
  <si>
    <t>GraphST</t>
  </si>
  <si>
    <t>Mclust</t>
  </si>
  <si>
    <t>Scatter</t>
  </si>
  <si>
    <t>ACT</t>
  </si>
  <si>
    <t>FACT</t>
  </si>
  <si>
    <t>NMI</t>
  </si>
  <si>
    <t>Photo (Enco)</t>
  </si>
  <si>
    <t>Feat+Photo (Enco)</t>
  </si>
  <si>
    <t>Point+Photo (Enco)</t>
  </si>
  <si>
    <t>Feat+Point+Photo (Enco)</t>
  </si>
  <si>
    <t>DBSCAN+Points (ENCO)</t>
  </si>
  <si>
    <t>Scatter+New</t>
  </si>
  <si>
    <t>Ecode 1</t>
  </si>
  <si>
    <t>ECODE 2</t>
  </si>
  <si>
    <t>HOM</t>
  </si>
  <si>
    <t>CM</t>
  </si>
  <si>
    <t>CHAOS</t>
  </si>
  <si>
    <t>PAS</t>
  </si>
  <si>
    <t>0.03</t>
  </si>
  <si>
    <t>0.034352</t>
  </si>
  <si>
    <t>0.027008</t>
  </si>
  <si>
    <t>0.067046</t>
  </si>
  <si>
    <t>0.0199</t>
  </si>
  <si>
    <t>0.023454</t>
  </si>
  <si>
    <t>0.035063</t>
  </si>
  <si>
    <t>0.021559</t>
  </si>
  <si>
    <t>0.008055</t>
  </si>
  <si>
    <t>0.023691</t>
  </si>
  <si>
    <t>0.013741</t>
  </si>
  <si>
    <t>0.02227</t>
  </si>
  <si>
    <t>0.021322</t>
  </si>
  <si>
    <t>0.037669</t>
  </si>
  <si>
    <t>AWS</t>
  </si>
  <si>
    <t>151676</t>
  </si>
  <si>
    <t>0.02</t>
  </si>
  <si>
    <t>-0.03711</t>
  </si>
  <si>
    <t>0.031362</t>
  </si>
  <si>
    <t>-0.11816</t>
  </si>
  <si>
    <t>0.051263</t>
  </si>
  <si>
    <t>0.045382</t>
  </si>
  <si>
    <t>-0.11963</t>
  </si>
  <si>
    <t>-0.03673</t>
  </si>
  <si>
    <t>0.095059</t>
  </si>
  <si>
    <t>0.014814</t>
  </si>
  <si>
    <t>-0.07251</t>
  </si>
  <si>
    <t>-0.01766</t>
  </si>
  <si>
    <t>0.023488</t>
  </si>
  <si>
    <t>0.006855</t>
  </si>
  <si>
    <t>TIME</t>
  </si>
  <si>
    <t>SPACE</t>
  </si>
  <si>
    <t>MoranI</t>
  </si>
  <si>
    <t>GearyC</t>
  </si>
  <si>
    <t>ORIGINAL NAMES</t>
  </si>
  <si>
    <t>Method
Name</t>
  </si>
  <si>
    <t>Selected Feature</t>
  </si>
  <si>
    <t>Clustering Method 
whie training</t>
  </si>
  <si>
    <t>Neural Structure</t>
  </si>
  <si>
    <t>Gene count</t>
  </si>
  <si>
    <t>...</t>
  </si>
  <si>
    <t>Concatenation of Genne 
Count and Spatial Location</t>
  </si>
  <si>
    <t>Image Embedding</t>
  </si>
  <si>
    <t>Concatenation of Image 
Embedding and Gene dount data</t>
  </si>
  <si>
    <t>Concatenation of Image 
Embedding and Spatial Location</t>
  </si>
  <si>
    <t>Concatenation of Image Embedding, 
Spatial Location and gene count</t>
  </si>
  <si>
    <t>DBScan</t>
  </si>
  <si>
    <t>Gene count, Features 
from neighbours</t>
  </si>
  <si>
    <t>New</t>
  </si>
  <si>
    <t>Gene count and Spatial 
location for training two portions</t>
  </si>
  <si>
    <t>Gene count and Spatial location 
for training two portions</t>
  </si>
  <si>
    <t>nmi</t>
  </si>
  <si>
    <t>hom</t>
  </si>
  <si>
    <t>cm</t>
  </si>
  <si>
    <t>chaos</t>
  </si>
  <si>
    <t>pas</t>
  </si>
  <si>
    <t>aws</t>
  </si>
  <si>
    <t>time</t>
  </si>
  <si>
    <t>space</t>
  </si>
  <si>
    <t>moranI</t>
  </si>
  <si>
    <t>gearyC</t>
  </si>
  <si>
    <t>SUM</t>
  </si>
  <si>
    <t>GRAPPH</t>
  </si>
  <si>
    <t>Ensemble</t>
  </si>
  <si>
    <t>G</t>
  </si>
  <si>
    <t>G+point (3000 genes)</t>
  </si>
  <si>
    <t>G+point</t>
  </si>
  <si>
    <t>G+Photo (LIKE 11)</t>
  </si>
  <si>
    <t>G+DBScan</t>
  </si>
  <si>
    <t>G+Neighbour(Gene expression)</t>
  </si>
  <si>
    <t>IGNORE_THIS_1</t>
  </si>
  <si>
    <t>GS</t>
  </si>
  <si>
    <t>I</t>
  </si>
  <si>
    <t>IG</t>
  </si>
  <si>
    <t>IS</t>
  </si>
  <si>
    <t>IGS</t>
  </si>
  <si>
    <t>GSD</t>
  </si>
  <si>
    <t>IGNORE_THIS_2</t>
  </si>
  <si>
    <t>GD</t>
  </si>
  <si>
    <t>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</si>
</sst>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24"/>
      <color theme="1"/>
      <name val="Arial"/>
      <scheme val="minor"/>
    </font>
    <font>
      <b/>
      <sz val="12"/>
      <color theme="1"/>
      <name val="Arial"/>
      <scheme val="minor"/>
    </font>
    <font>
      <b/>
      <sz val="12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sz val="11"/>
      <color rgb="FF000000"/>
      <name val="Calibri"/>
    </font>
    <font>
      <sz val="9"/>
      <color theme="1"/>
      <name val="Arial"/>
    </font>
    <font>
      <b/>
      <sz val="10"/>
      <color theme="1"/>
      <name val="Arial"/>
      <scheme val="minor"/>
    </font>
    <font>
      <sz val="11"/>
      <color theme="1"/>
      <name val="Arial"/>
    </font>
    <font>
      <b/>
      <sz val="24"/>
      <color theme="1"/>
      <name val="Arial"/>
    </font>
    <font>
      <b/>
      <sz val="10"/>
      <color theme="1"/>
      <name val="Arial"/>
      <scheme val="minor"/>
    </font>
    <font>
      <sz val="10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4" fontId="5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2" borderId="0" xfId="0" applyFont="1" applyFill="1"/>
    <xf numFmtId="4" fontId="6" fillId="3" borderId="0" xfId="0" applyNumberFormat="1" applyFont="1" applyFill="1" applyAlignment="1">
      <alignment horizontal="right"/>
    </xf>
    <xf numFmtId="0" fontId="6" fillId="0" borderId="0" xfId="0" applyFont="1"/>
    <xf numFmtId="2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4" borderId="0" xfId="0" applyFont="1" applyFill="1"/>
    <xf numFmtId="0" fontId="10" fillId="4" borderId="0" xfId="0" applyFont="1" applyFill="1" applyAlignment="1">
      <alignment horizontal="left"/>
    </xf>
    <xf numFmtId="0" fontId="7" fillId="3" borderId="0" xfId="0" applyFont="1" applyFill="1" applyAlignment="1">
      <alignment horizontal="right"/>
    </xf>
    <xf numFmtId="4" fontId="7" fillId="3" borderId="0" xfId="0" applyNumberFormat="1" applyFont="1" applyFill="1" applyAlignment="1">
      <alignment horizontal="right"/>
    </xf>
    <xf numFmtId="0" fontId="7" fillId="5" borderId="0" xfId="0" applyFont="1" applyFill="1" applyAlignment="1">
      <alignment horizontal="right"/>
    </xf>
    <xf numFmtId="0" fontId="6" fillId="6" borderId="0" xfId="0" applyFont="1" applyFill="1"/>
    <xf numFmtId="4" fontId="7" fillId="6" borderId="0" xfId="0" applyNumberFormat="1" applyFont="1" applyFill="1" applyAlignment="1">
      <alignment horizontal="right"/>
    </xf>
    <xf numFmtId="0" fontId="7" fillId="6" borderId="0" xfId="0" applyFont="1" applyFill="1" applyAlignment="1">
      <alignment horizontal="right"/>
    </xf>
    <xf numFmtId="0" fontId="11" fillId="0" borderId="0" xfId="0" applyFont="1" applyAlignment="1">
      <alignment horizontal="left"/>
    </xf>
    <xf numFmtId="0" fontId="4" fillId="4" borderId="0" xfId="0" applyFont="1" applyFill="1"/>
    <xf numFmtId="0" fontId="6" fillId="4" borderId="0" xfId="0" applyFont="1" applyFill="1"/>
    <xf numFmtId="49" fontId="11" fillId="4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right"/>
    </xf>
    <xf numFmtId="0" fontId="2" fillId="4" borderId="0" xfId="0" applyFont="1" applyFill="1"/>
    <xf numFmtId="49" fontId="3" fillId="4" borderId="0" xfId="0" applyNumberFormat="1" applyFont="1" applyFill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4" borderId="0" xfId="0" applyFont="1" applyFill="1"/>
    <xf numFmtId="0" fontId="12" fillId="0" borderId="0" xfId="0" applyFont="1" applyAlignment="1">
      <alignment horizontal="center"/>
    </xf>
    <xf numFmtId="0" fontId="13" fillId="4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right"/>
    </xf>
    <xf numFmtId="4" fontId="0" fillId="0" borderId="0" xfId="0" applyNumberFormat="1"/>
    <xf numFmtId="49" fontId="16" fillId="0" borderId="0" xfId="0" applyNumberFormat="1" applyFont="1" applyAlignment="1">
      <alignment horizontal="right"/>
    </xf>
    <xf numFmtId="2" fontId="16" fillId="0" borderId="0" xfId="0" applyNumberFormat="1" applyFont="1" applyAlignment="1">
      <alignment horizontal="right"/>
    </xf>
    <xf numFmtId="2" fontId="0" fillId="0" borderId="0" xfId="0" applyNumberFormat="1"/>
    <xf numFmtId="0" fontId="17" fillId="4" borderId="0" xfId="0" applyFont="1" applyFill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FF"/>
      <color rgb="FFFFCC66"/>
      <color rgb="FF99FF66"/>
      <color rgb="FF6666FF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ARI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Sheet1!$A$4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Sheet1!$B$4:$M$4</c:f>
              <c:numCache>
                <c:formatCode>#,##0.00</c:formatCode>
                <c:ptCount val="12"/>
                <c:pt idx="0">
                  <c:v>0.25927164897861499</c:v>
                </c:pt>
                <c:pt idx="1">
                  <c:v>0.37367369601359302</c:v>
                </c:pt>
                <c:pt idx="2">
                  <c:v>0.415120063292368</c:v>
                </c:pt>
                <c:pt idx="3">
                  <c:v>0.32629475393824298</c:v>
                </c:pt>
                <c:pt idx="4">
                  <c:v>0.30415141548833302</c:v>
                </c:pt>
                <c:pt idx="5">
                  <c:v>0.22982204685136901</c:v>
                </c:pt>
                <c:pt idx="6">
                  <c:v>0.37801906961704201</c:v>
                </c:pt>
                <c:pt idx="7">
                  <c:v>0.381528101607857</c:v>
                </c:pt>
                <c:pt idx="8">
                  <c:v>0.50990091747229005</c:v>
                </c:pt>
                <c:pt idx="9">
                  <c:v>0.449417568277163</c:v>
                </c:pt>
                <c:pt idx="10">
                  <c:v>0.43627072219624702</c:v>
                </c:pt>
                <c:pt idx="11">
                  <c:v>0.39246902785822102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C-4F52-B8CC-7F7A9A7FD1E2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Sheet1!$B$5:$M$5</c:f>
              <c:numCache>
                <c:formatCode>#,##0.00</c:formatCode>
                <c:ptCount val="12"/>
                <c:pt idx="0">
                  <c:v>0.53092639168142197</c:v>
                </c:pt>
                <c:pt idx="1">
                  <c:v>0.444586912840707</c:v>
                </c:pt>
                <c:pt idx="2">
                  <c:v>0.49235310978310898</c:v>
                </c:pt>
                <c:pt idx="3">
                  <c:v>0.46124043947947302</c:v>
                </c:pt>
                <c:pt idx="4">
                  <c:v>0.32711761410718199</c:v>
                </c:pt>
                <c:pt idx="5">
                  <c:v>0.32673499915390802</c:v>
                </c:pt>
                <c:pt idx="6">
                  <c:v>0.48677490600343398</c:v>
                </c:pt>
                <c:pt idx="7">
                  <c:v>0.49810993193034903</c:v>
                </c:pt>
                <c:pt idx="8">
                  <c:v>0.58806679086480795</c:v>
                </c:pt>
                <c:pt idx="9">
                  <c:v>0.43391515873035602</c:v>
                </c:pt>
                <c:pt idx="10">
                  <c:v>0.522103404143618</c:v>
                </c:pt>
                <c:pt idx="11">
                  <c:v>0.48594850730946099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FC-4F52-B8CC-7F7A9A7FD1E2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Sheet1!$B$6:$M$6</c:f>
              <c:numCache>
                <c:formatCode>#,##0.00</c:formatCode>
                <c:ptCount val="12"/>
                <c:pt idx="0">
                  <c:v>0.31077497666348503</c:v>
                </c:pt>
                <c:pt idx="1">
                  <c:v>0.257112611084444</c:v>
                </c:pt>
                <c:pt idx="2">
                  <c:v>0.20669618095342199</c:v>
                </c:pt>
                <c:pt idx="3">
                  <c:v>0.211245919979618</c:v>
                </c:pt>
                <c:pt idx="4">
                  <c:v>0.20273962591552</c:v>
                </c:pt>
                <c:pt idx="5">
                  <c:v>0.171883361121973</c:v>
                </c:pt>
                <c:pt idx="6">
                  <c:v>0.26287716341885498</c:v>
                </c:pt>
                <c:pt idx="7">
                  <c:v>0.27772180474119201</c:v>
                </c:pt>
                <c:pt idx="8">
                  <c:v>0.34665472163088701</c:v>
                </c:pt>
                <c:pt idx="9">
                  <c:v>0.33976310583927799</c:v>
                </c:pt>
                <c:pt idx="10">
                  <c:v>0.25279136707393302</c:v>
                </c:pt>
                <c:pt idx="11">
                  <c:v>0.28898047122246701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FC-4F52-B8CC-7F7A9A7FD1E2}"/>
            </c:ext>
          </c:extLst>
        </c:ser>
        <c:ser>
          <c:idx val="3"/>
          <c:order val="3"/>
          <c:tx>
            <c:strRef>
              <c:f>Sheet1!$A$7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Sheet1!$B$7:$M$7</c:f>
              <c:numCache>
                <c:formatCode>#,##0.00</c:formatCode>
                <c:ptCount val="12"/>
                <c:pt idx="0">
                  <c:v>0.585404649096948</c:v>
                </c:pt>
                <c:pt idx="1">
                  <c:v>0.43466102569959703</c:v>
                </c:pt>
                <c:pt idx="2">
                  <c:v>0.43192968577353003</c:v>
                </c:pt>
                <c:pt idx="3">
                  <c:v>0.42931665457645302</c:v>
                </c:pt>
                <c:pt idx="4">
                  <c:v>0.38516539303841402</c:v>
                </c:pt>
                <c:pt idx="5">
                  <c:v>0.50740516991162499</c:v>
                </c:pt>
                <c:pt idx="6">
                  <c:v>0.29513126891782498</c:v>
                </c:pt>
                <c:pt idx="7">
                  <c:v>0.53625335330305102</c:v>
                </c:pt>
                <c:pt idx="8">
                  <c:v>0.50654520521076096</c:v>
                </c:pt>
                <c:pt idx="9">
                  <c:v>0.54265419629825395</c:v>
                </c:pt>
                <c:pt idx="10">
                  <c:v>0.56602542886982699</c:v>
                </c:pt>
                <c:pt idx="11">
                  <c:v>0.50526777798958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FC-4F52-B8CC-7F7A9A7FD1E2}"/>
            </c:ext>
          </c:extLst>
        </c:ser>
        <c:ser>
          <c:idx val="4"/>
          <c:order val="4"/>
          <c:tx>
            <c:strRef>
              <c:f>Sheet1!$A$8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Sheet1!$B$8:$M$8</c:f>
              <c:numCache>
                <c:formatCode>#,##0.00</c:formatCode>
                <c:ptCount val="12"/>
                <c:pt idx="0">
                  <c:v>0.43057000000000001</c:v>
                </c:pt>
                <c:pt idx="1">
                  <c:v>0.37518600000000002</c:v>
                </c:pt>
                <c:pt idx="2">
                  <c:v>0.37482199999999999</c:v>
                </c:pt>
                <c:pt idx="3">
                  <c:v>0.40242099999999997</c:v>
                </c:pt>
                <c:pt idx="4">
                  <c:v>0.30031200000000002</c:v>
                </c:pt>
                <c:pt idx="5">
                  <c:v>0.206067</c:v>
                </c:pt>
                <c:pt idx="6">
                  <c:v>0.37687599999999999</c:v>
                </c:pt>
                <c:pt idx="7">
                  <c:v>0.50551900000000005</c:v>
                </c:pt>
                <c:pt idx="8">
                  <c:v>0.48280499999999998</c:v>
                </c:pt>
                <c:pt idx="9">
                  <c:v>0.412796</c:v>
                </c:pt>
                <c:pt idx="10">
                  <c:v>0.39316800000000002</c:v>
                </c:pt>
                <c:pt idx="11">
                  <c:v>0.32176199999999999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FC-4F52-B8CC-7F7A9A7FD1E2}"/>
            </c:ext>
          </c:extLst>
        </c:ser>
        <c:ser>
          <c:idx val="5"/>
          <c:order val="5"/>
          <c:tx>
            <c:strRef>
              <c:f>Sheet1!$A$9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Sheet1!$B$9:$M$9</c:f>
              <c:numCache>
                <c:formatCode>#,##0.00</c:formatCode>
                <c:ptCount val="12"/>
                <c:pt idx="0">
                  <c:v>0.43341822150738302</c:v>
                </c:pt>
                <c:pt idx="1">
                  <c:v>0.48755074710835999</c:v>
                </c:pt>
                <c:pt idx="2">
                  <c:v>0.41787300425477403</c:v>
                </c:pt>
                <c:pt idx="3">
                  <c:v>0.51408600416207895</c:v>
                </c:pt>
                <c:pt idx="4">
                  <c:v>0.42587598447171998</c:v>
                </c:pt>
                <c:pt idx="5">
                  <c:v>0.379594529123847</c:v>
                </c:pt>
                <c:pt idx="6">
                  <c:v>0.60209877082952801</c:v>
                </c:pt>
                <c:pt idx="7">
                  <c:v>0.60516523423292501</c:v>
                </c:pt>
                <c:pt idx="8">
                  <c:v>0.63269951896955701</c:v>
                </c:pt>
                <c:pt idx="9">
                  <c:v>0.42904632702234702</c:v>
                </c:pt>
                <c:pt idx="10">
                  <c:v>0.48403610056781399</c:v>
                </c:pt>
                <c:pt idx="11">
                  <c:v>0.56585697347747899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FC-4F52-B8CC-7F7A9A7FD1E2}"/>
            </c:ext>
          </c:extLst>
        </c:ser>
        <c:ser>
          <c:idx val="6"/>
          <c:order val="6"/>
          <c:tx>
            <c:strRef>
              <c:f>Sheet1!$A$10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Sheet1!$B$10:$M$10</c:f>
              <c:numCache>
                <c:formatCode>#,##0.00</c:formatCode>
                <c:ptCount val="12"/>
                <c:pt idx="0">
                  <c:v>0.59593799999999997</c:v>
                </c:pt>
                <c:pt idx="1">
                  <c:v>0.47907699999999998</c:v>
                </c:pt>
                <c:pt idx="2">
                  <c:v>0.43598799999999999</c:v>
                </c:pt>
                <c:pt idx="3">
                  <c:v>0.37124600000000002</c:v>
                </c:pt>
                <c:pt idx="4">
                  <c:v>0.41147899999999998</c:v>
                </c:pt>
                <c:pt idx="5">
                  <c:v>0.39490500000000001</c:v>
                </c:pt>
                <c:pt idx="6">
                  <c:v>0.58116599999999996</c:v>
                </c:pt>
                <c:pt idx="7">
                  <c:v>0.63449900000000004</c:v>
                </c:pt>
                <c:pt idx="8">
                  <c:v>0.644451</c:v>
                </c:pt>
                <c:pt idx="9">
                  <c:v>0.53356899999999996</c:v>
                </c:pt>
                <c:pt idx="10">
                  <c:v>0.55482399999999998</c:v>
                </c:pt>
                <c:pt idx="11">
                  <c:v>0.64329199999999997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FC-4F52-B8CC-7F7A9A7FD1E2}"/>
            </c:ext>
          </c:extLst>
        </c:ser>
        <c:ser>
          <c:idx val="7"/>
          <c:order val="7"/>
          <c:tx>
            <c:strRef>
              <c:f>Sheet1!$A$11</c:f>
              <c:strCache>
                <c:ptCount val="1"/>
                <c:pt idx="0">
                  <c:v>G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Sheet1!$B$11:$M$11</c:f>
              <c:numCache>
                <c:formatCode>#,##0.00</c:formatCode>
                <c:ptCount val="12"/>
                <c:pt idx="0">
                  <c:v>0.52657900000000002</c:v>
                </c:pt>
                <c:pt idx="1">
                  <c:v>0</c:v>
                </c:pt>
                <c:pt idx="2">
                  <c:v>0.42979400000000001</c:v>
                </c:pt>
                <c:pt idx="3">
                  <c:v>0.47319</c:v>
                </c:pt>
                <c:pt idx="4">
                  <c:v>0.40460800000000002</c:v>
                </c:pt>
                <c:pt idx="5">
                  <c:v>0.38750800000000002</c:v>
                </c:pt>
                <c:pt idx="6">
                  <c:v>0.59926000000000001</c:v>
                </c:pt>
                <c:pt idx="7">
                  <c:v>0.62194000000000005</c:v>
                </c:pt>
                <c:pt idx="8">
                  <c:v>0.66126600000000002</c:v>
                </c:pt>
                <c:pt idx="9">
                  <c:v>0.59170599999999995</c:v>
                </c:pt>
                <c:pt idx="10">
                  <c:v>0.47311300000000001</c:v>
                </c:pt>
                <c:pt idx="11">
                  <c:v>0.63705999999999996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FC-4F52-B8CC-7F7A9A7FD1E2}"/>
            </c:ext>
          </c:extLst>
        </c:ser>
        <c:ser>
          <c:idx val="8"/>
          <c:order val="8"/>
          <c:tx>
            <c:strRef>
              <c:f>Sheet1!$A$12</c:f>
              <c:strCache>
                <c:ptCount val="1"/>
                <c:pt idx="0">
                  <c:v>IGNORE_THIS_1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Sheet1!$B$12:$M$12</c:f>
              <c:numCache>
                <c:formatCode>0.00</c:formatCode>
                <c:ptCount val="12"/>
                <c:pt idx="0">
                  <c:v>0.31903399999999998</c:v>
                </c:pt>
                <c:pt idx="1">
                  <c:v>0.33743600000000001</c:v>
                </c:pt>
                <c:pt idx="2">
                  <c:v>0.38785999999999998</c:v>
                </c:pt>
                <c:pt idx="3">
                  <c:v>0.451764</c:v>
                </c:pt>
                <c:pt idx="4">
                  <c:v>0.43754700000000002</c:v>
                </c:pt>
                <c:pt idx="5">
                  <c:v>0.35050700000000001</c:v>
                </c:pt>
                <c:pt idx="6">
                  <c:v>0.64410400000000001</c:v>
                </c:pt>
                <c:pt idx="7">
                  <c:v>0.64088100000000003</c:v>
                </c:pt>
                <c:pt idx="8">
                  <c:v>0.60730600000000001</c:v>
                </c:pt>
                <c:pt idx="9">
                  <c:v>0.439805</c:v>
                </c:pt>
                <c:pt idx="10">
                  <c:v>0.47137400000000002</c:v>
                </c:pt>
                <c:pt idx="11">
                  <c:v>0.47849700000000001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FC-4F52-B8CC-7F7A9A7FD1E2}"/>
            </c:ext>
          </c:extLst>
        </c:ser>
        <c:ser>
          <c:idx val="9"/>
          <c:order val="9"/>
          <c:tx>
            <c:strRef>
              <c:f>Sheet1!$A$13</c:f>
              <c:strCache>
                <c:ptCount val="1"/>
                <c:pt idx="0">
                  <c:v>GS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Sheet1!$B$13:$M$13</c:f>
              <c:numCache>
                <c:formatCode>0.00</c:formatCode>
                <c:ptCount val="12"/>
                <c:pt idx="0">
                  <c:v>0.54800099999999996</c:v>
                </c:pt>
                <c:pt idx="1">
                  <c:v>0.41398600000000002</c:v>
                </c:pt>
                <c:pt idx="2">
                  <c:v>0.47389100000000001</c:v>
                </c:pt>
                <c:pt idx="3">
                  <c:v>0.60303799999999996</c:v>
                </c:pt>
                <c:pt idx="4">
                  <c:v>0.406393</c:v>
                </c:pt>
                <c:pt idx="5">
                  <c:v>0.385745</c:v>
                </c:pt>
                <c:pt idx="6">
                  <c:v>0.607155</c:v>
                </c:pt>
                <c:pt idx="7">
                  <c:v>0.591692</c:v>
                </c:pt>
                <c:pt idx="8">
                  <c:v>0.62080800000000003</c:v>
                </c:pt>
                <c:pt idx="9">
                  <c:v>0.46113999999999999</c:v>
                </c:pt>
                <c:pt idx="10">
                  <c:v>0.57724900000000001</c:v>
                </c:pt>
                <c:pt idx="11">
                  <c:v>0.63368899999999995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9FC-4F52-B8CC-7F7A9A7FD1E2}"/>
            </c:ext>
          </c:extLst>
        </c:ser>
        <c:ser>
          <c:idx val="10"/>
          <c:order val="10"/>
          <c:tx>
            <c:strRef>
              <c:f>Sheet1!$A$14</c:f>
              <c:strCache>
                <c:ptCount val="1"/>
                <c:pt idx="0">
                  <c:v>I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Sheet1!$B$14:$M$14</c:f>
              <c:numCache>
                <c:formatCode>0.00</c:formatCode>
                <c:ptCount val="12"/>
                <c:pt idx="0">
                  <c:v>9.5880000000000007E-2</c:v>
                </c:pt>
                <c:pt idx="1">
                  <c:v>0.166939</c:v>
                </c:pt>
                <c:pt idx="2">
                  <c:v>0.15069099999999999</c:v>
                </c:pt>
                <c:pt idx="3">
                  <c:v>0.14662</c:v>
                </c:pt>
                <c:pt idx="4">
                  <c:v>0.17141899999999999</c:v>
                </c:pt>
                <c:pt idx="5">
                  <c:v>0.138987</c:v>
                </c:pt>
                <c:pt idx="6">
                  <c:v>0.17618600000000001</c:v>
                </c:pt>
                <c:pt idx="7">
                  <c:v>6.9237000000000007E-2</c:v>
                </c:pt>
                <c:pt idx="8">
                  <c:v>6.4295000000000005E-2</c:v>
                </c:pt>
                <c:pt idx="9">
                  <c:v>0.11880400000000001</c:v>
                </c:pt>
                <c:pt idx="10">
                  <c:v>0.11852500000000001</c:v>
                </c:pt>
                <c:pt idx="11">
                  <c:v>0.13002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FC-4F52-B8CC-7F7A9A7FD1E2}"/>
            </c:ext>
          </c:extLst>
        </c:ser>
        <c:ser>
          <c:idx val="11"/>
          <c:order val="11"/>
          <c:tx>
            <c:strRef>
              <c:f>Sheet1!$A$15</c:f>
              <c:strCache>
                <c:ptCount val="1"/>
                <c:pt idx="0">
                  <c:v>IG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Sheet1!$B$15:$M$15</c:f>
              <c:numCache>
                <c:formatCode>0.00</c:formatCode>
                <c:ptCount val="12"/>
                <c:pt idx="0">
                  <c:v>0.13065499999999999</c:v>
                </c:pt>
                <c:pt idx="1">
                  <c:v>0.16766500000000001</c:v>
                </c:pt>
                <c:pt idx="2">
                  <c:v>0.16031699999999999</c:v>
                </c:pt>
                <c:pt idx="3">
                  <c:v>0.15262200000000001</c:v>
                </c:pt>
                <c:pt idx="4">
                  <c:v>0.10676099999999999</c:v>
                </c:pt>
                <c:pt idx="5">
                  <c:v>0.20189499999999999</c:v>
                </c:pt>
                <c:pt idx="6">
                  <c:v>0.13755000000000001</c:v>
                </c:pt>
                <c:pt idx="7">
                  <c:v>9.9644999999999997E-2</c:v>
                </c:pt>
                <c:pt idx="8">
                  <c:v>0.18057699999999999</c:v>
                </c:pt>
                <c:pt idx="9">
                  <c:v>0.22972000000000001</c:v>
                </c:pt>
                <c:pt idx="10">
                  <c:v>0.122875</c:v>
                </c:pt>
                <c:pt idx="11">
                  <c:v>0.219109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9FC-4F52-B8CC-7F7A9A7FD1E2}"/>
            </c:ext>
          </c:extLst>
        </c:ser>
        <c:ser>
          <c:idx val="12"/>
          <c:order val="12"/>
          <c:tx>
            <c:strRef>
              <c:f>Sheet1!$A$16</c:f>
              <c:strCache>
                <c:ptCount val="1"/>
                <c:pt idx="0">
                  <c:v>IS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Sheet1!$B$16:$M$16</c:f>
              <c:numCache>
                <c:formatCode>0.00</c:formatCode>
                <c:ptCount val="12"/>
                <c:pt idx="0">
                  <c:v>0.135189</c:v>
                </c:pt>
                <c:pt idx="1">
                  <c:v>0.16394</c:v>
                </c:pt>
                <c:pt idx="2">
                  <c:v>0.15063399999999999</c:v>
                </c:pt>
                <c:pt idx="3">
                  <c:v>0.13905899999999999</c:v>
                </c:pt>
                <c:pt idx="4">
                  <c:v>0.156775</c:v>
                </c:pt>
                <c:pt idx="5">
                  <c:v>0.153277</c:v>
                </c:pt>
                <c:pt idx="6">
                  <c:v>8.5948999999999998E-2</c:v>
                </c:pt>
                <c:pt idx="7">
                  <c:v>1.4813E-2</c:v>
                </c:pt>
                <c:pt idx="8">
                  <c:v>0.134302</c:v>
                </c:pt>
                <c:pt idx="9">
                  <c:v>0.13140099999999999</c:v>
                </c:pt>
                <c:pt idx="10">
                  <c:v>0.14218600000000001</c:v>
                </c:pt>
                <c:pt idx="11">
                  <c:v>0.12195300000000001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9FC-4F52-B8CC-7F7A9A7FD1E2}"/>
            </c:ext>
          </c:extLst>
        </c:ser>
        <c:ser>
          <c:idx val="13"/>
          <c:order val="13"/>
          <c:tx>
            <c:strRef>
              <c:f>Sheet1!$A$17</c:f>
              <c:strCache>
                <c:ptCount val="1"/>
                <c:pt idx="0">
                  <c:v>IGS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Sheet1!$B$17:$M$17</c:f>
              <c:numCache>
                <c:formatCode>General</c:formatCode>
                <c:ptCount val="12"/>
                <c:pt idx="0">
                  <c:v>0.16128799999999999</c:v>
                </c:pt>
                <c:pt idx="1">
                  <c:v>0.16831299999999999</c:v>
                </c:pt>
                <c:pt idx="2">
                  <c:v>0.156723</c:v>
                </c:pt>
                <c:pt idx="3">
                  <c:v>0.15137600000000001</c:v>
                </c:pt>
                <c:pt idx="4">
                  <c:v>0.183368</c:v>
                </c:pt>
                <c:pt idx="5">
                  <c:v>0.172849</c:v>
                </c:pt>
                <c:pt idx="6">
                  <c:v>0.15840499999999999</c:v>
                </c:pt>
                <c:pt idx="7">
                  <c:v>0.162551</c:v>
                </c:pt>
                <c:pt idx="8">
                  <c:v>0.241228</c:v>
                </c:pt>
                <c:pt idx="9" formatCode="#,##0.00">
                  <c:v>0.205261</c:v>
                </c:pt>
                <c:pt idx="10" formatCode="#,##0.00">
                  <c:v>0.161385</c:v>
                </c:pt>
                <c:pt idx="11" formatCode="#,##0.00">
                  <c:v>0.152755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9FC-4F52-B8CC-7F7A9A7FD1E2}"/>
            </c:ext>
          </c:extLst>
        </c:ser>
        <c:ser>
          <c:idx val="14"/>
          <c:order val="14"/>
          <c:tx>
            <c:strRef>
              <c:f>Sheet1!$A$18</c:f>
              <c:strCache>
                <c:ptCount val="1"/>
                <c:pt idx="0">
                  <c:v>GSD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Sheet1!$B$18:$M$18</c:f>
              <c:numCache>
                <c:formatCode>General</c:formatCode>
                <c:ptCount val="12"/>
                <c:pt idx="0">
                  <c:v>0.47873599999999999</c:v>
                </c:pt>
                <c:pt idx="1">
                  <c:v>0.33334900000000001</c:v>
                </c:pt>
                <c:pt idx="2">
                  <c:v>0.44914500000000002</c:v>
                </c:pt>
                <c:pt idx="3">
                  <c:v>0.49819400000000003</c:v>
                </c:pt>
                <c:pt idx="4">
                  <c:v>0.54228200000000004</c:v>
                </c:pt>
                <c:pt idx="5">
                  <c:v>0.38065599999999999</c:v>
                </c:pt>
                <c:pt idx="6">
                  <c:v>0.58910399999999996</c:v>
                </c:pt>
                <c:pt idx="7">
                  <c:v>0.59336199999999995</c:v>
                </c:pt>
                <c:pt idx="8">
                  <c:v>0.60202500000000003</c:v>
                </c:pt>
                <c:pt idx="9">
                  <c:v>0.444046</c:v>
                </c:pt>
                <c:pt idx="10">
                  <c:v>0.41503800000000002</c:v>
                </c:pt>
                <c:pt idx="11">
                  <c:v>0.41827199999999998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9FC-4F52-B8CC-7F7A9A7FD1E2}"/>
            </c:ext>
          </c:extLst>
        </c:ser>
        <c:ser>
          <c:idx val="15"/>
          <c:order val="15"/>
          <c:tx>
            <c:strRef>
              <c:f>Sheet1!$A$19</c:f>
              <c:strCache>
                <c:ptCount val="1"/>
                <c:pt idx="0">
                  <c:v>IGNORE_THIS_2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Sheet1!$B$19:$M$19</c:f>
              <c:numCache>
                <c:formatCode>General</c:formatCode>
                <c:ptCount val="12"/>
                <c:pt idx="0">
                  <c:v>0.203983</c:v>
                </c:pt>
                <c:pt idx="1">
                  <c:v>0.23699400000000001</c:v>
                </c:pt>
                <c:pt idx="2">
                  <c:v>7.6691999999999996E-2</c:v>
                </c:pt>
                <c:pt idx="3">
                  <c:v>8.1236000000000003E-2</c:v>
                </c:pt>
                <c:pt idx="4">
                  <c:v>-2.164E-2</c:v>
                </c:pt>
                <c:pt idx="5">
                  <c:v>0.327824</c:v>
                </c:pt>
                <c:pt idx="6">
                  <c:v>0.56433</c:v>
                </c:pt>
                <c:pt idx="7">
                  <c:v>0.59923400000000004</c:v>
                </c:pt>
                <c:pt idx="8">
                  <c:v>0.18057699999999999</c:v>
                </c:pt>
                <c:pt idx="9">
                  <c:v>0.32062499999999999</c:v>
                </c:pt>
                <c:pt idx="10">
                  <c:v>0.28939900000000002</c:v>
                </c:pt>
                <c:pt idx="11">
                  <c:v>0.29688500000000001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9FC-4F52-B8CC-7F7A9A7FD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143287"/>
        <c:axId val="1204093480"/>
      </c:lineChart>
      <c:catAx>
        <c:axId val="753143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4093480"/>
        <c:crosses val="autoZero"/>
        <c:auto val="1"/>
        <c:lblAlgn val="ctr"/>
        <c:lblOffset val="100"/>
        <c:noMultiLvlLbl val="1"/>
      </c:catAx>
      <c:valAx>
        <c:axId val="1204093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31432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Sheet1!$A$227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Sheet1!$B$227:$M$227</c:f>
              <c:numCache>
                <c:formatCode>#,##0.00</c:formatCode>
                <c:ptCount val="12"/>
                <c:pt idx="0">
                  <c:v>248.04218506813001</c:v>
                </c:pt>
                <c:pt idx="1">
                  <c:v>217.02237510681101</c:v>
                </c:pt>
                <c:pt idx="2">
                  <c:v>249.220753669738</c:v>
                </c:pt>
                <c:pt idx="3">
                  <c:v>244.991358280181</c:v>
                </c:pt>
                <c:pt idx="4">
                  <c:v>182.68318152427599</c:v>
                </c:pt>
                <c:pt idx="5">
                  <c:v>169.03535413742</c:v>
                </c:pt>
                <c:pt idx="6">
                  <c:v>199.561366081237</c:v>
                </c:pt>
                <c:pt idx="7">
                  <c:v>173.31683611869801</c:v>
                </c:pt>
                <c:pt idx="8">
                  <c:v>179.13008451461701</c:v>
                </c:pt>
                <c:pt idx="9">
                  <c:v>176.73827004432599</c:v>
                </c:pt>
                <c:pt idx="10">
                  <c:v>179.93805861473001</c:v>
                </c:pt>
                <c:pt idx="11">
                  <c:v>172.54372525215101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F57-9C09-761576E00474}"/>
            </c:ext>
          </c:extLst>
        </c:ser>
        <c:ser>
          <c:idx val="1"/>
          <c:order val="1"/>
          <c:tx>
            <c:strRef>
              <c:f>Sheet1!$A$228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Sheet1!$B$228:$M$228</c:f>
              <c:numCache>
                <c:formatCode>#,##0.00</c:formatCode>
                <c:ptCount val="12"/>
                <c:pt idx="0">
                  <c:v>701.62085056304898</c:v>
                </c:pt>
                <c:pt idx="1">
                  <c:v>592.92975449562005</c:v>
                </c:pt>
                <c:pt idx="2">
                  <c:v>725.45599818229596</c:v>
                </c:pt>
                <c:pt idx="3">
                  <c:v>774.11634063720703</c:v>
                </c:pt>
                <c:pt idx="4">
                  <c:v>547.64082026481606</c:v>
                </c:pt>
                <c:pt idx="5">
                  <c:v>515.74179100990295</c:v>
                </c:pt>
                <c:pt idx="6">
                  <c:v>550.65251851081803</c:v>
                </c:pt>
                <c:pt idx="7">
                  <c:v>528.56935882568303</c:v>
                </c:pt>
                <c:pt idx="8">
                  <c:v>519.91400957107498</c:v>
                </c:pt>
                <c:pt idx="9">
                  <c:v>528.26585626602105</c:v>
                </c:pt>
                <c:pt idx="10">
                  <c:v>514.96614837646405</c:v>
                </c:pt>
                <c:pt idx="11">
                  <c:v>454.35775065422001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92-4F57-9C09-761576E00474}"/>
            </c:ext>
          </c:extLst>
        </c:ser>
        <c:ser>
          <c:idx val="2"/>
          <c:order val="2"/>
          <c:tx>
            <c:strRef>
              <c:f>Sheet1!$A$229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Sheet1!$B$229:$M$229</c:f>
              <c:numCache>
                <c:formatCode>#,##0.00</c:formatCode>
                <c:ptCount val="12"/>
                <c:pt idx="0">
                  <c:v>79.094640254974294</c:v>
                </c:pt>
                <c:pt idx="1">
                  <c:v>50.7459232807159</c:v>
                </c:pt>
                <c:pt idx="2">
                  <c:v>38.308586120605398</c:v>
                </c:pt>
                <c:pt idx="3">
                  <c:v>50.226884126663201</c:v>
                </c:pt>
                <c:pt idx="4">
                  <c:v>28.949137926101599</c:v>
                </c:pt>
                <c:pt idx="5">
                  <c:v>26.9458005428314</c:v>
                </c:pt>
                <c:pt idx="6">
                  <c:v>34.155169725417998</c:v>
                </c:pt>
                <c:pt idx="7">
                  <c:v>30.812891244888299</c:v>
                </c:pt>
                <c:pt idx="8">
                  <c:v>21.764157056808401</c:v>
                </c:pt>
                <c:pt idx="9">
                  <c:v>39.709741592407198</c:v>
                </c:pt>
                <c:pt idx="10">
                  <c:v>41.904331445693899</c:v>
                </c:pt>
                <c:pt idx="11">
                  <c:v>36.572896242141702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92-4F57-9C09-761576E00474}"/>
            </c:ext>
          </c:extLst>
        </c:ser>
        <c:ser>
          <c:idx val="3"/>
          <c:order val="3"/>
          <c:tx>
            <c:strRef>
              <c:f>Sheet1!$A$230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Sheet1!$B$230:$M$230</c:f>
              <c:numCache>
                <c:formatCode>#,##0.00</c:formatCode>
                <c:ptCount val="12"/>
                <c:pt idx="0">
                  <c:v>75.196268558502197</c:v>
                </c:pt>
                <c:pt idx="1">
                  <c:v>41.092186450958202</c:v>
                </c:pt>
                <c:pt idx="2">
                  <c:v>51.244391441345201</c:v>
                </c:pt>
                <c:pt idx="3">
                  <c:v>48.443339586257899</c:v>
                </c:pt>
                <c:pt idx="4">
                  <c:v>49.581439495086599</c:v>
                </c:pt>
                <c:pt idx="5">
                  <c:v>58.0237555503845</c:v>
                </c:pt>
                <c:pt idx="6">
                  <c:v>114.897999048233</c:v>
                </c:pt>
                <c:pt idx="7">
                  <c:v>44.137853384017902</c:v>
                </c:pt>
                <c:pt idx="8">
                  <c:v>37.843484878540004</c:v>
                </c:pt>
                <c:pt idx="9">
                  <c:v>39.374790668487499</c:v>
                </c:pt>
                <c:pt idx="10">
                  <c:v>38.099832296371403</c:v>
                </c:pt>
                <c:pt idx="11">
                  <c:v>38.228928089141803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92-4F57-9C09-761576E00474}"/>
            </c:ext>
          </c:extLst>
        </c:ser>
        <c:ser>
          <c:idx val="4"/>
          <c:order val="4"/>
          <c:tx>
            <c:strRef>
              <c:f>Sheet1!$A$231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Sheet1!$B$231:$M$231</c:f>
              <c:numCache>
                <c:formatCode>#,##0.00</c:formatCode>
                <c:ptCount val="12"/>
                <c:pt idx="0">
                  <c:v>223.044886350631</c:v>
                </c:pt>
                <c:pt idx="1">
                  <c:v>253.357859373092</c:v>
                </c:pt>
                <c:pt idx="2">
                  <c:v>309.464200258255</c:v>
                </c:pt>
                <c:pt idx="3">
                  <c:v>286.11516332626297</c:v>
                </c:pt>
                <c:pt idx="4">
                  <c:v>173.19447183609</c:v>
                </c:pt>
                <c:pt idx="5">
                  <c:v>175.634501934051</c:v>
                </c:pt>
                <c:pt idx="6">
                  <c:v>219.854627132415</c:v>
                </c:pt>
                <c:pt idx="7">
                  <c:v>200.98553228378199</c:v>
                </c:pt>
                <c:pt idx="8">
                  <c:v>213.469737052917</c:v>
                </c:pt>
                <c:pt idx="9">
                  <c:v>177.303038597106</c:v>
                </c:pt>
                <c:pt idx="10">
                  <c:v>177.557912826538</c:v>
                </c:pt>
                <c:pt idx="11">
                  <c:v>145.52196621894799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92-4F57-9C09-761576E00474}"/>
            </c:ext>
          </c:extLst>
        </c:ser>
        <c:ser>
          <c:idx val="5"/>
          <c:order val="5"/>
          <c:tx>
            <c:strRef>
              <c:f>Sheet1!$A$232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Sheet1!$B$232:$M$232</c:f>
              <c:numCache>
                <c:formatCode>#,##0.00</c:formatCode>
                <c:ptCount val="12"/>
                <c:pt idx="0">
                  <c:v>73.112632751464801</c:v>
                </c:pt>
                <c:pt idx="1">
                  <c:v>65.799126386642399</c:v>
                </c:pt>
                <c:pt idx="2">
                  <c:v>92.562977313995304</c:v>
                </c:pt>
                <c:pt idx="3">
                  <c:v>87.641527652740393</c:v>
                </c:pt>
                <c:pt idx="4">
                  <c:v>64.638130664825397</c:v>
                </c:pt>
                <c:pt idx="5">
                  <c:v>64.952477216720496</c:v>
                </c:pt>
                <c:pt idx="6">
                  <c:v>54.502254009246798</c:v>
                </c:pt>
                <c:pt idx="7">
                  <c:v>49.452005147933903</c:v>
                </c:pt>
                <c:pt idx="8">
                  <c:v>53.5012817382812</c:v>
                </c:pt>
                <c:pt idx="9">
                  <c:v>65.863883495330796</c:v>
                </c:pt>
                <c:pt idx="10">
                  <c:v>64.109711885452199</c:v>
                </c:pt>
                <c:pt idx="11">
                  <c:v>58.001094341277998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92-4F57-9C09-761576E00474}"/>
            </c:ext>
          </c:extLst>
        </c:ser>
        <c:ser>
          <c:idx val="6"/>
          <c:order val="6"/>
          <c:tx>
            <c:strRef>
              <c:f>Sheet1!$A$233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Sheet1!$B$233:$M$233</c:f>
              <c:numCache>
                <c:formatCode>#,##0.00</c:formatCode>
                <c:ptCount val="12"/>
                <c:pt idx="0">
                  <c:v>23.415050000000001</c:v>
                </c:pt>
                <c:pt idx="1">
                  <c:v>20.876339999999999</c:v>
                </c:pt>
                <c:pt idx="2">
                  <c:v>24.776900000000001</c:v>
                </c:pt>
                <c:pt idx="3">
                  <c:v>22.592220000000001</c:v>
                </c:pt>
                <c:pt idx="4">
                  <c:v>27.63467</c:v>
                </c:pt>
                <c:pt idx="5">
                  <c:v>31.289249999999999</c:v>
                </c:pt>
                <c:pt idx="6">
                  <c:v>18.176079999999999</c:v>
                </c:pt>
                <c:pt idx="7">
                  <c:v>21.86365</c:v>
                </c:pt>
                <c:pt idx="8">
                  <c:v>19.144380000000002</c:v>
                </c:pt>
                <c:pt idx="9">
                  <c:v>26.164860000000001</c:v>
                </c:pt>
                <c:pt idx="10">
                  <c:v>21.49408</c:v>
                </c:pt>
                <c:pt idx="11">
                  <c:v>15.822620000000001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92-4F57-9C09-761576E00474}"/>
            </c:ext>
          </c:extLst>
        </c:ser>
        <c:ser>
          <c:idx val="7"/>
          <c:order val="7"/>
          <c:tx>
            <c:strRef>
              <c:f>Sheet1!$A$234</c:f>
              <c:strCache>
                <c:ptCount val="1"/>
                <c:pt idx="0">
                  <c:v>G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Sheet1!$B$234:$M$234</c:f>
              <c:numCache>
                <c:formatCode>#,##0.00</c:formatCode>
                <c:ptCount val="12"/>
                <c:pt idx="0" formatCode="General">
                  <c:v>86.2</c:v>
                </c:pt>
                <c:pt idx="1">
                  <c:v>0</c:v>
                </c:pt>
                <c:pt idx="2">
                  <c:v>62.33</c:v>
                </c:pt>
                <c:pt idx="3">
                  <c:v>64.510000000000005</c:v>
                </c:pt>
                <c:pt idx="4">
                  <c:v>60.61</c:v>
                </c:pt>
                <c:pt idx="5">
                  <c:v>49.28</c:v>
                </c:pt>
                <c:pt idx="6">
                  <c:v>54.15</c:v>
                </c:pt>
                <c:pt idx="7">
                  <c:v>56.16</c:v>
                </c:pt>
                <c:pt idx="8" formatCode="General">
                  <c:v>45.09</c:v>
                </c:pt>
                <c:pt idx="9" formatCode="General">
                  <c:v>47.34</c:v>
                </c:pt>
                <c:pt idx="10" formatCode="General">
                  <c:v>50.45</c:v>
                </c:pt>
                <c:pt idx="11" formatCode="General">
                  <c:v>50.85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92-4F57-9C09-761576E00474}"/>
            </c:ext>
          </c:extLst>
        </c:ser>
        <c:ser>
          <c:idx val="8"/>
          <c:order val="8"/>
          <c:tx>
            <c:strRef>
              <c:f>Sheet1!$A$235</c:f>
              <c:strCache>
                <c:ptCount val="1"/>
                <c:pt idx="0">
                  <c:v>IGNORE_THIS_1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Sheet1!$B$235:$M$235</c:f>
              <c:numCache>
                <c:formatCode>#,##0.00</c:formatCode>
                <c:ptCount val="12"/>
                <c:pt idx="0" formatCode="General">
                  <c:v>30.532360000000001</c:v>
                </c:pt>
                <c:pt idx="1">
                  <c:v>31.483090000000001</c:v>
                </c:pt>
                <c:pt idx="2">
                  <c:v>32.499679999999998</c:v>
                </c:pt>
                <c:pt idx="3">
                  <c:v>32.458449999999999</c:v>
                </c:pt>
                <c:pt idx="4">
                  <c:v>29.211649999999999</c:v>
                </c:pt>
                <c:pt idx="5">
                  <c:v>28.00055</c:v>
                </c:pt>
                <c:pt idx="6">
                  <c:v>33.49335</c:v>
                </c:pt>
                <c:pt idx="7">
                  <c:v>30.776060000000001</c:v>
                </c:pt>
                <c:pt idx="8" formatCode="General">
                  <c:v>28.50902</c:v>
                </c:pt>
                <c:pt idx="9" formatCode="General">
                  <c:v>28.985769999999999</c:v>
                </c:pt>
                <c:pt idx="10" formatCode="General">
                  <c:v>27.499770000000002</c:v>
                </c:pt>
                <c:pt idx="11" formatCode="General">
                  <c:v>25.72926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92-4F57-9C09-761576E00474}"/>
            </c:ext>
          </c:extLst>
        </c:ser>
        <c:ser>
          <c:idx val="9"/>
          <c:order val="9"/>
          <c:tx>
            <c:strRef>
              <c:f>Sheet1!$A$236</c:f>
              <c:strCache>
                <c:ptCount val="1"/>
                <c:pt idx="0">
                  <c:v>GS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Sheet1!$B$236:$M$236</c:f>
              <c:numCache>
                <c:formatCode>#,##0.00</c:formatCode>
                <c:ptCount val="12"/>
                <c:pt idx="0" formatCode="General">
                  <c:v>52.951500000000003</c:v>
                </c:pt>
                <c:pt idx="1">
                  <c:v>49.990519999999997</c:v>
                </c:pt>
                <c:pt idx="2">
                  <c:v>58.572189999999999</c:v>
                </c:pt>
                <c:pt idx="3">
                  <c:v>60.388939999999998</c:v>
                </c:pt>
                <c:pt idx="4">
                  <c:v>47.53125</c:v>
                </c:pt>
                <c:pt idx="5">
                  <c:v>45.891269999999999</c:v>
                </c:pt>
                <c:pt idx="6">
                  <c:v>52.309669999999997</c:v>
                </c:pt>
                <c:pt idx="7">
                  <c:v>46.548279999999998</c:v>
                </c:pt>
                <c:pt idx="8" formatCode="General">
                  <c:v>46.43526</c:v>
                </c:pt>
                <c:pt idx="9" formatCode="General">
                  <c:v>42.837380000000003</c:v>
                </c:pt>
                <c:pt idx="10" formatCode="General">
                  <c:v>41.495649999999998</c:v>
                </c:pt>
                <c:pt idx="11" formatCode="General">
                  <c:v>42.447539999999996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92-4F57-9C09-761576E00474}"/>
            </c:ext>
          </c:extLst>
        </c:ser>
        <c:ser>
          <c:idx val="10"/>
          <c:order val="10"/>
          <c:tx>
            <c:strRef>
              <c:f>Sheet1!$A$237</c:f>
              <c:strCache>
                <c:ptCount val="1"/>
                <c:pt idx="0">
                  <c:v>I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Sheet1!$B$237:$M$237</c:f>
              <c:numCache>
                <c:formatCode>#,##0.00</c:formatCode>
                <c:ptCount val="12"/>
                <c:pt idx="0" formatCode="General">
                  <c:v>372.55239999999998</c:v>
                </c:pt>
                <c:pt idx="1">
                  <c:v>339.66739999999999</c:v>
                </c:pt>
                <c:pt idx="2">
                  <c:v>346.15699999999998</c:v>
                </c:pt>
                <c:pt idx="3">
                  <c:v>336.89260000000002</c:v>
                </c:pt>
                <c:pt idx="4">
                  <c:v>271.32549999999998</c:v>
                </c:pt>
                <c:pt idx="5">
                  <c:v>256.7396</c:v>
                </c:pt>
                <c:pt idx="6">
                  <c:v>326.87459999999999</c:v>
                </c:pt>
                <c:pt idx="7">
                  <c:v>322.38330000000002</c:v>
                </c:pt>
                <c:pt idx="8" formatCode="General">
                  <c:v>277.06900000000002</c:v>
                </c:pt>
                <c:pt idx="9" formatCode="General">
                  <c:v>289.99829999999997</c:v>
                </c:pt>
                <c:pt idx="10" formatCode="General">
                  <c:v>273.48419999999999</c:v>
                </c:pt>
                <c:pt idx="11" formatCode="General">
                  <c:v>260.48939999999999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D92-4F57-9C09-761576E00474}"/>
            </c:ext>
          </c:extLst>
        </c:ser>
        <c:ser>
          <c:idx val="11"/>
          <c:order val="11"/>
          <c:tx>
            <c:strRef>
              <c:f>Sheet1!$A$238</c:f>
              <c:strCache>
                <c:ptCount val="1"/>
                <c:pt idx="0">
                  <c:v>IG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Sheet1!$B$238:$M$238</c:f>
              <c:numCache>
                <c:formatCode>#,##0.00</c:formatCode>
                <c:ptCount val="12"/>
                <c:pt idx="0" formatCode="General">
                  <c:v>331.59949999999998</c:v>
                </c:pt>
                <c:pt idx="1">
                  <c:v>395.00279999999998</c:v>
                </c:pt>
                <c:pt idx="2">
                  <c:v>412.24599999999998</c:v>
                </c:pt>
                <c:pt idx="3">
                  <c:v>393.61720000000003</c:v>
                </c:pt>
                <c:pt idx="4">
                  <c:v>317.04559999999998</c:v>
                </c:pt>
                <c:pt idx="5">
                  <c:v>309.96690000000001</c:v>
                </c:pt>
                <c:pt idx="6">
                  <c:v>317.19639999999998</c:v>
                </c:pt>
                <c:pt idx="7">
                  <c:v>315.76049999999998</c:v>
                </c:pt>
                <c:pt idx="8" formatCode="General">
                  <c:v>321.22559999999999</c:v>
                </c:pt>
                <c:pt idx="9" formatCode="General">
                  <c:v>318.65210000000002</c:v>
                </c:pt>
                <c:pt idx="10" formatCode="General">
                  <c:v>312.39120000000003</c:v>
                </c:pt>
                <c:pt idx="11" formatCode="General">
                  <c:v>303.79320000000001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D92-4F57-9C09-761576E00474}"/>
            </c:ext>
          </c:extLst>
        </c:ser>
        <c:ser>
          <c:idx val="12"/>
          <c:order val="12"/>
          <c:tx>
            <c:strRef>
              <c:f>Sheet1!$A$239</c:f>
              <c:strCache>
                <c:ptCount val="1"/>
                <c:pt idx="0">
                  <c:v>IS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Sheet1!$B$239:$M$239</c:f>
              <c:numCache>
                <c:formatCode>#,##0.00</c:formatCode>
                <c:ptCount val="12"/>
                <c:pt idx="0" formatCode="General">
                  <c:v>400.76330000000002</c:v>
                </c:pt>
                <c:pt idx="1">
                  <c:v>346.33150000000001</c:v>
                </c:pt>
                <c:pt idx="2">
                  <c:v>352.37450000000001</c:v>
                </c:pt>
                <c:pt idx="3">
                  <c:v>344.48099999999999</c:v>
                </c:pt>
                <c:pt idx="4">
                  <c:v>272.84309999999999</c:v>
                </c:pt>
                <c:pt idx="5">
                  <c:v>250.0718</c:v>
                </c:pt>
                <c:pt idx="6">
                  <c:v>291.49419999999998</c:v>
                </c:pt>
                <c:pt idx="7">
                  <c:v>286.79309999999998</c:v>
                </c:pt>
                <c:pt idx="8" formatCode="General">
                  <c:v>259.44189999999998</c:v>
                </c:pt>
                <c:pt idx="9" formatCode="General">
                  <c:v>270.99650000000003</c:v>
                </c:pt>
                <c:pt idx="10" formatCode="General">
                  <c:v>251.5915</c:v>
                </c:pt>
                <c:pt idx="11" formatCode="General">
                  <c:v>240.54339999999999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D92-4F57-9C09-761576E00474}"/>
            </c:ext>
          </c:extLst>
        </c:ser>
        <c:ser>
          <c:idx val="13"/>
          <c:order val="13"/>
          <c:tx>
            <c:strRef>
              <c:f>Sheet1!$A$240</c:f>
              <c:strCache>
                <c:ptCount val="1"/>
                <c:pt idx="0">
                  <c:v>IGS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Sheet1!$B$240:$M$240</c:f>
              <c:numCache>
                <c:formatCode>#,##0.00</c:formatCode>
                <c:ptCount val="12"/>
                <c:pt idx="0" formatCode="General">
                  <c:v>54.960760000000001</c:v>
                </c:pt>
                <c:pt idx="1">
                  <c:v>76.15728</c:v>
                </c:pt>
                <c:pt idx="2">
                  <c:v>68.06344</c:v>
                </c:pt>
                <c:pt idx="3">
                  <c:v>61.75226</c:v>
                </c:pt>
                <c:pt idx="4">
                  <c:v>47.000619999999998</c:v>
                </c:pt>
                <c:pt idx="5">
                  <c:v>46.033230000000003</c:v>
                </c:pt>
                <c:pt idx="6">
                  <c:v>54.214419999999997</c:v>
                </c:pt>
                <c:pt idx="7">
                  <c:v>53.032350000000001</c:v>
                </c:pt>
                <c:pt idx="8" formatCode="General">
                  <c:v>47.50806</c:v>
                </c:pt>
                <c:pt idx="9" formatCode="General">
                  <c:v>50.737369999999999</c:v>
                </c:pt>
                <c:pt idx="10" formatCode="General">
                  <c:v>48.755220000000001</c:v>
                </c:pt>
                <c:pt idx="11" formatCode="General">
                  <c:v>46.95411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D92-4F57-9C09-761576E00474}"/>
            </c:ext>
          </c:extLst>
        </c:ser>
        <c:ser>
          <c:idx val="14"/>
          <c:order val="14"/>
          <c:tx>
            <c:strRef>
              <c:f>Sheet1!$A$241</c:f>
              <c:strCache>
                <c:ptCount val="1"/>
                <c:pt idx="0">
                  <c:v>GSD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Sheet1!$B$241:$M$241</c:f>
              <c:numCache>
                <c:formatCode>#,##0.00</c:formatCode>
                <c:ptCount val="12"/>
                <c:pt idx="0" formatCode="General">
                  <c:v>276.09910000000002</c:v>
                </c:pt>
                <c:pt idx="1">
                  <c:v>285.61419999999998</c:v>
                </c:pt>
                <c:pt idx="2">
                  <c:v>319.88569999999999</c:v>
                </c:pt>
                <c:pt idx="3">
                  <c:v>297.8614</c:v>
                </c:pt>
                <c:pt idx="4">
                  <c:v>295.29390000000001</c:v>
                </c:pt>
                <c:pt idx="5">
                  <c:v>289.67540000000002</c:v>
                </c:pt>
                <c:pt idx="6">
                  <c:v>363.65069999999997</c:v>
                </c:pt>
                <c:pt idx="7">
                  <c:v>275.89030000000002</c:v>
                </c:pt>
                <c:pt idx="8" formatCode="General">
                  <c:v>211.8075</c:v>
                </c:pt>
                <c:pt idx="9" formatCode="General">
                  <c:v>218.3938</c:v>
                </c:pt>
                <c:pt idx="10" formatCode="General">
                  <c:v>209.99289999999999</c:v>
                </c:pt>
                <c:pt idx="11" formatCode="General">
                  <c:v>204.88929999999999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D92-4F57-9C09-761576E00474}"/>
            </c:ext>
          </c:extLst>
        </c:ser>
        <c:ser>
          <c:idx val="15"/>
          <c:order val="15"/>
          <c:tx>
            <c:strRef>
              <c:f>Sheet1!$A$242</c:f>
              <c:strCache>
                <c:ptCount val="1"/>
                <c:pt idx="0">
                  <c:v>IGNORE_THIS_2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Sheet1!$B$242:$M$242</c:f>
              <c:numCache>
                <c:formatCode>#,##0.00</c:formatCode>
                <c:ptCount val="12"/>
                <c:pt idx="0" formatCode="General">
                  <c:v>58.787590000000002</c:v>
                </c:pt>
                <c:pt idx="1">
                  <c:v>94.299639999999997</c:v>
                </c:pt>
                <c:pt idx="2">
                  <c:v>102.7024</c:v>
                </c:pt>
                <c:pt idx="3">
                  <c:v>108.1075</c:v>
                </c:pt>
                <c:pt idx="4">
                  <c:v>63.54918</c:v>
                </c:pt>
                <c:pt idx="5">
                  <c:v>58.697400000000002</c:v>
                </c:pt>
                <c:pt idx="6">
                  <c:v>61.209569999999999</c:v>
                </c:pt>
                <c:pt idx="7">
                  <c:v>63.097670000000001</c:v>
                </c:pt>
                <c:pt idx="8" formatCode="General">
                  <c:v>57.191920000000003</c:v>
                </c:pt>
                <c:pt idx="9" formatCode="General">
                  <c:v>57.339799999999997</c:v>
                </c:pt>
                <c:pt idx="10" formatCode="General">
                  <c:v>49.155299999999997</c:v>
                </c:pt>
                <c:pt idx="11" formatCode="General">
                  <c:v>46.88073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D92-4F57-9C09-761576E00474}"/>
            </c:ext>
          </c:extLst>
        </c:ser>
        <c:ser>
          <c:idx val="16"/>
          <c:order val="16"/>
          <c:tx>
            <c:strRef>
              <c:f>Sheet1!$A$243</c:f>
              <c:strCache>
                <c:ptCount val="1"/>
                <c:pt idx="0">
                  <c:v>GD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Sheet1!$B$243:$M$243</c:f>
              <c:numCache>
                <c:formatCode>#,##0.00</c:formatCode>
                <c:ptCount val="12"/>
                <c:pt idx="0" formatCode="General">
                  <c:v>275.79509999999999</c:v>
                </c:pt>
                <c:pt idx="1">
                  <c:v>278.79309999999998</c:v>
                </c:pt>
                <c:pt idx="2">
                  <c:v>302.65370000000001</c:v>
                </c:pt>
                <c:pt idx="3">
                  <c:v>306.14319999999998</c:v>
                </c:pt>
                <c:pt idx="4">
                  <c:v>227.15209999999999</c:v>
                </c:pt>
                <c:pt idx="5">
                  <c:v>220.4889</c:v>
                </c:pt>
                <c:pt idx="6">
                  <c:v>274.18740000000003</c:v>
                </c:pt>
                <c:pt idx="7">
                  <c:v>251.4735</c:v>
                </c:pt>
                <c:pt idx="8" formatCode="General">
                  <c:v>224.20150000000001</c:v>
                </c:pt>
                <c:pt idx="9" formatCode="General">
                  <c:v>219.87469999999999</c:v>
                </c:pt>
                <c:pt idx="10" formatCode="General">
                  <c:v>225.26150000000001</c:v>
                </c:pt>
                <c:pt idx="11" formatCode="General">
                  <c:v>229.24160000000001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D92-4F57-9C09-761576E00474}"/>
            </c:ext>
          </c:extLst>
        </c:ser>
        <c:ser>
          <c:idx val="17"/>
          <c:order val="17"/>
          <c:tx>
            <c:strRef>
              <c:f>Sheet1!$A$244</c:f>
              <c:strCache>
                <c:ptCount val="1"/>
                <c:pt idx="0">
                  <c:v>GN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Sheet1!$B$244:$M$244</c:f>
              <c:numCache>
                <c:formatCode>#,##0.00</c:formatCode>
                <c:ptCount val="12"/>
                <c:pt idx="0" formatCode="General">
                  <c:v>83.316079999999999</c:v>
                </c:pt>
                <c:pt idx="1">
                  <c:v>104.1718</c:v>
                </c:pt>
                <c:pt idx="2">
                  <c:v>97.615889999999993</c:v>
                </c:pt>
                <c:pt idx="3">
                  <c:v>114.3008</c:v>
                </c:pt>
                <c:pt idx="4">
                  <c:v>86.743290000000002</c:v>
                </c:pt>
                <c:pt idx="5">
                  <c:v>77.217960000000005</c:v>
                </c:pt>
                <c:pt idx="6">
                  <c:v>82.252830000000003</c:v>
                </c:pt>
                <c:pt idx="7">
                  <c:v>95.566159999999996</c:v>
                </c:pt>
                <c:pt idx="8" formatCode="General">
                  <c:v>78.833349999999996</c:v>
                </c:pt>
                <c:pt idx="9" formatCode="General">
                  <c:v>84.034030000000001</c:v>
                </c:pt>
                <c:pt idx="10" formatCode="General">
                  <c:v>73.921660000000003</c:v>
                </c:pt>
                <c:pt idx="11" formatCode="General">
                  <c:v>72.256010000000003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D92-4F57-9C09-761576E00474}"/>
            </c:ext>
          </c:extLst>
        </c:ser>
        <c:ser>
          <c:idx val="18"/>
          <c:order val="18"/>
          <c:tx>
            <c:strRef>
              <c:f>Sheet1!$A$245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Sheet1!$B$245:$M$245</c:f>
              <c:numCache>
                <c:formatCode>#,##0.00</c:formatCode>
                <c:ptCount val="12"/>
                <c:pt idx="0" formatCode="General">
                  <c:v>180.26560000000001</c:v>
                </c:pt>
                <c:pt idx="1">
                  <c:v>198.3929</c:v>
                </c:pt>
                <c:pt idx="2">
                  <c:v>199.3631</c:v>
                </c:pt>
                <c:pt idx="3">
                  <c:v>185.77099999999999</c:v>
                </c:pt>
                <c:pt idx="4">
                  <c:v>175.88409999999999</c:v>
                </c:pt>
                <c:pt idx="5">
                  <c:v>200.11199999999999</c:v>
                </c:pt>
                <c:pt idx="6">
                  <c:v>186.12049999999999</c:v>
                </c:pt>
                <c:pt idx="7">
                  <c:v>185.08080000000001</c:v>
                </c:pt>
                <c:pt idx="8" formatCode="General">
                  <c:v>176.20779999999999</c:v>
                </c:pt>
                <c:pt idx="9" formatCode="General">
                  <c:v>173.1755</c:v>
                </c:pt>
                <c:pt idx="10" formatCode="General">
                  <c:v>173.8442</c:v>
                </c:pt>
                <c:pt idx="11" formatCode="General">
                  <c:v>164.6241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D92-4F57-9C09-761576E00474}"/>
            </c:ext>
          </c:extLst>
        </c:ser>
        <c:ser>
          <c:idx val="19"/>
          <c:order val="19"/>
          <c:tx>
            <c:strRef>
              <c:f>Sheet1!$A$246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Sheet1!$B$246:$M$246</c:f>
              <c:numCache>
                <c:formatCode>#,##0.00</c:formatCode>
                <c:ptCount val="12"/>
                <c:pt idx="0" formatCode="General">
                  <c:v>182.2114</c:v>
                </c:pt>
                <c:pt idx="1">
                  <c:v>203.01230000000001</c:v>
                </c:pt>
                <c:pt idx="2">
                  <c:v>229.7723</c:v>
                </c:pt>
                <c:pt idx="3">
                  <c:v>199.57509999999999</c:v>
                </c:pt>
                <c:pt idx="4">
                  <c:v>172.7063</c:v>
                </c:pt>
                <c:pt idx="5">
                  <c:v>156.27959999999999</c:v>
                </c:pt>
                <c:pt idx="6">
                  <c:v>184.85810000000001</c:v>
                </c:pt>
                <c:pt idx="7">
                  <c:v>171.4162</c:v>
                </c:pt>
                <c:pt idx="8" formatCode="General">
                  <c:v>169.53450000000001</c:v>
                </c:pt>
                <c:pt idx="9" formatCode="General">
                  <c:v>174.56319999999999</c:v>
                </c:pt>
                <c:pt idx="10" formatCode="General">
                  <c:v>155.57939999999999</c:v>
                </c:pt>
                <c:pt idx="11" formatCode="General">
                  <c:v>172.31309999999999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D92-4F57-9C09-761576E00474}"/>
            </c:ext>
          </c:extLst>
        </c:ser>
        <c:ser>
          <c:idx val="20"/>
          <c:order val="20"/>
          <c:tx>
            <c:strRef>
              <c:f>Sheet1!$A$247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Sheet1!$B$226:$M$226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Sheet1!$B$247:$M$247</c:f>
              <c:numCache>
                <c:formatCode>#,##0.00</c:formatCode>
                <c:ptCount val="12"/>
                <c:pt idx="0" formatCode="General">
                  <c:v>317.79399999999998</c:v>
                </c:pt>
                <c:pt idx="1">
                  <c:v>312.07060000000001</c:v>
                </c:pt>
                <c:pt idx="2">
                  <c:v>317.37209999999999</c:v>
                </c:pt>
                <c:pt idx="3">
                  <c:v>354.73340000000002</c:v>
                </c:pt>
                <c:pt idx="4">
                  <c:v>310.59539999999998</c:v>
                </c:pt>
                <c:pt idx="5">
                  <c:v>279.29390000000001</c:v>
                </c:pt>
                <c:pt idx="6">
                  <c:v>296.0736</c:v>
                </c:pt>
                <c:pt idx="7">
                  <c:v>290.70310000000001</c:v>
                </c:pt>
                <c:pt idx="8" formatCode="General">
                  <c:v>283.35239999999999</c:v>
                </c:pt>
                <c:pt idx="9" formatCode="General">
                  <c:v>284.41820000000001</c:v>
                </c:pt>
                <c:pt idx="10" formatCode="General">
                  <c:v>287.32499999999999</c:v>
                </c:pt>
                <c:pt idx="11" formatCode="General">
                  <c:v>276.19589999999999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D92-4F57-9C09-761576E00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38595"/>
        <c:axId val="237634442"/>
      </c:lineChart>
      <c:catAx>
        <c:axId val="1520838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7634442"/>
        <c:crosses val="autoZero"/>
        <c:auto val="1"/>
        <c:lblAlgn val="ctr"/>
        <c:lblOffset val="100"/>
        <c:noMultiLvlLbl val="1"/>
      </c:catAx>
      <c:valAx>
        <c:axId val="237634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08385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Memory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Sheet1!$A$258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Sheet1!$B$258:$M$258</c:f>
              <c:numCache>
                <c:formatCode>#,##0.00</c:formatCode>
                <c:ptCount val="12"/>
                <c:pt idx="0">
                  <c:v>753.24439144134499</c:v>
                </c:pt>
                <c:pt idx="1">
                  <c:v>825.55967235565095</c:v>
                </c:pt>
                <c:pt idx="2">
                  <c:v>927.86729431152298</c:v>
                </c:pt>
                <c:pt idx="3">
                  <c:v>888.84022426605202</c:v>
                </c:pt>
                <c:pt idx="4">
                  <c:v>768.42948150634697</c:v>
                </c:pt>
                <c:pt idx="5">
                  <c:v>727.20119094848599</c:v>
                </c:pt>
                <c:pt idx="6">
                  <c:v>860.62768363952603</c:v>
                </c:pt>
                <c:pt idx="7">
                  <c:v>827.49532890319801</c:v>
                </c:pt>
                <c:pt idx="8">
                  <c:v>805.62419605255104</c:v>
                </c:pt>
                <c:pt idx="9">
                  <c:v>867.07952117919899</c:v>
                </c:pt>
                <c:pt idx="10">
                  <c:v>760.38121700286797</c:v>
                </c:pt>
                <c:pt idx="11">
                  <c:v>748.31784915924004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10-4F6D-9694-6D57A6680D31}"/>
            </c:ext>
          </c:extLst>
        </c:ser>
        <c:ser>
          <c:idx val="1"/>
          <c:order val="1"/>
          <c:tx>
            <c:strRef>
              <c:f>Sheet1!$A$259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Sheet1!$B$259:$M$259</c:f>
              <c:numCache>
                <c:formatCode>#,##0.00</c:formatCode>
                <c:ptCount val="12"/>
                <c:pt idx="0">
                  <c:v>5835.2830200195303</c:v>
                </c:pt>
                <c:pt idx="1">
                  <c:v>6041.9066467285102</c:v>
                </c:pt>
                <c:pt idx="2">
                  <c:v>6603.8562078475898</c:v>
                </c:pt>
                <c:pt idx="3">
                  <c:v>6389.20909786224</c:v>
                </c:pt>
                <c:pt idx="4">
                  <c:v>5077.7266311645499</c:v>
                </c:pt>
                <c:pt idx="5">
                  <c:v>4853.6168947219803</c:v>
                </c:pt>
                <c:pt idx="6">
                  <c:v>5700.0639638900702</c:v>
                </c:pt>
                <c:pt idx="7">
                  <c:v>5557.5525150299</c:v>
                </c:pt>
                <c:pt idx="8">
                  <c:v>5059.1863546371396</c:v>
                </c:pt>
                <c:pt idx="9">
                  <c:v>5119.1905498504602</c:v>
                </c:pt>
                <c:pt idx="10">
                  <c:v>4984.3906145095798</c:v>
                </c:pt>
                <c:pt idx="11">
                  <c:v>4809.1261968612598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0-4F6D-9694-6D57A6680D31}"/>
            </c:ext>
          </c:extLst>
        </c:ser>
        <c:ser>
          <c:idx val="2"/>
          <c:order val="2"/>
          <c:tx>
            <c:strRef>
              <c:f>Sheet1!$A$260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Sheet1!$B$260:$M$260</c:f>
              <c:numCache>
                <c:formatCode>#,##0.00</c:formatCode>
                <c:ptCount val="12"/>
                <c:pt idx="0">
                  <c:v>334.04881095886202</c:v>
                </c:pt>
                <c:pt idx="1">
                  <c:v>328.37675380706702</c:v>
                </c:pt>
                <c:pt idx="2">
                  <c:v>385.76993751525799</c:v>
                </c:pt>
                <c:pt idx="3">
                  <c:v>420.04254055023102</c:v>
                </c:pt>
                <c:pt idx="4">
                  <c:v>283.26099014282198</c:v>
                </c:pt>
                <c:pt idx="5">
                  <c:v>263.59090137481599</c:v>
                </c:pt>
                <c:pt idx="6">
                  <c:v>321.39094066619799</c:v>
                </c:pt>
                <c:pt idx="7">
                  <c:v>307.81188964843699</c:v>
                </c:pt>
                <c:pt idx="8">
                  <c:v>390.168406486511</c:v>
                </c:pt>
                <c:pt idx="9">
                  <c:v>454.92144393920898</c:v>
                </c:pt>
                <c:pt idx="10">
                  <c:v>280.63203811645502</c:v>
                </c:pt>
                <c:pt idx="11">
                  <c:v>286.15721416473298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10-4F6D-9694-6D57A6680D31}"/>
            </c:ext>
          </c:extLst>
        </c:ser>
        <c:ser>
          <c:idx val="3"/>
          <c:order val="3"/>
          <c:tx>
            <c:strRef>
              <c:f>Sheet1!$A$261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Sheet1!$B$261:$M$261</c:f>
              <c:numCache>
                <c:formatCode>#,##0.00</c:formatCode>
                <c:ptCount val="12"/>
                <c:pt idx="0">
                  <c:v>337.34301662445</c:v>
                </c:pt>
                <c:pt idx="1">
                  <c:v>379.19263362884499</c:v>
                </c:pt>
                <c:pt idx="2">
                  <c:v>379.06494903564402</c:v>
                </c:pt>
                <c:pt idx="3">
                  <c:v>379.06407451629599</c:v>
                </c:pt>
                <c:pt idx="4">
                  <c:v>379.06366062164301</c:v>
                </c:pt>
                <c:pt idx="5">
                  <c:v>379.063401222229</c:v>
                </c:pt>
                <c:pt idx="6">
                  <c:v>379.062933921813</c:v>
                </c:pt>
                <c:pt idx="7">
                  <c:v>379.06271171569801</c:v>
                </c:pt>
                <c:pt idx="8">
                  <c:v>379.06294631958002</c:v>
                </c:pt>
                <c:pt idx="9">
                  <c:v>379.062819480896</c:v>
                </c:pt>
                <c:pt idx="10">
                  <c:v>379.06259536743102</c:v>
                </c:pt>
                <c:pt idx="11">
                  <c:v>379.06248474121003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10-4F6D-9694-6D57A6680D31}"/>
            </c:ext>
          </c:extLst>
        </c:ser>
        <c:ser>
          <c:idx val="4"/>
          <c:order val="4"/>
          <c:tx>
            <c:strRef>
              <c:f>Sheet1!$A$262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Sheet1!$B$262:$M$262</c:f>
              <c:numCache>
                <c:formatCode>#,##0.00</c:formatCode>
                <c:ptCount val="12"/>
                <c:pt idx="0">
                  <c:v>1453.11780166625</c:v>
                </c:pt>
                <c:pt idx="1">
                  <c:v>1409.1581249236999</c:v>
                </c:pt>
                <c:pt idx="2">
                  <c:v>1558.8162155151299</c:v>
                </c:pt>
                <c:pt idx="3">
                  <c:v>1503.7530860900799</c:v>
                </c:pt>
                <c:pt idx="4">
                  <c:v>1311.9280271530099</c:v>
                </c:pt>
                <c:pt idx="5">
                  <c:v>1256.1297903060899</c:v>
                </c:pt>
                <c:pt idx="6">
                  <c:v>1500.46508789062</c:v>
                </c:pt>
                <c:pt idx="7">
                  <c:v>1397.3910598754801</c:v>
                </c:pt>
                <c:pt idx="8">
                  <c:v>1294.31810760498</c:v>
                </c:pt>
                <c:pt idx="9">
                  <c:v>1430.0451326370201</c:v>
                </c:pt>
                <c:pt idx="10">
                  <c:v>1297.17359733581</c:v>
                </c:pt>
                <c:pt idx="11">
                  <c:v>1277.36168479919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10-4F6D-9694-6D57A6680D31}"/>
            </c:ext>
          </c:extLst>
        </c:ser>
        <c:ser>
          <c:idx val="5"/>
          <c:order val="5"/>
          <c:tx>
            <c:strRef>
              <c:f>Sheet1!$A$263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Sheet1!$B$263:$M$263</c:f>
              <c:numCache>
                <c:formatCode>#,##0.00</c:formatCode>
                <c:ptCount val="12"/>
                <c:pt idx="0">
                  <c:v>2599.2273397445601</c:v>
                </c:pt>
                <c:pt idx="1">
                  <c:v>2694.6330127716001</c:v>
                </c:pt>
                <c:pt idx="2">
                  <c:v>2945.8765230178801</c:v>
                </c:pt>
                <c:pt idx="3">
                  <c:v>2835.6444435119602</c:v>
                </c:pt>
                <c:pt idx="4">
                  <c:v>2209.02734565734</c:v>
                </c:pt>
                <c:pt idx="5">
                  <c:v>2145.4387502670202</c:v>
                </c:pt>
                <c:pt idx="6">
                  <c:v>2510.5302362441998</c:v>
                </c:pt>
                <c:pt idx="7">
                  <c:v>2440.5143213271999</c:v>
                </c:pt>
                <c:pt idx="8">
                  <c:v>2282.5474548339798</c:v>
                </c:pt>
                <c:pt idx="9">
                  <c:v>2346.9111213684</c:v>
                </c:pt>
                <c:pt idx="10">
                  <c:v>2164.4616041183399</c:v>
                </c:pt>
                <c:pt idx="11">
                  <c:v>2085.86855602264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10-4F6D-9694-6D57A6680D31}"/>
            </c:ext>
          </c:extLst>
        </c:ser>
        <c:ser>
          <c:idx val="6"/>
          <c:order val="6"/>
          <c:tx>
            <c:strRef>
              <c:f>Sheet1!$A$264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Sheet1!$B$264:$M$264</c:f>
              <c:numCache>
                <c:formatCode>#,##0.00</c:formatCode>
                <c:ptCount val="12"/>
                <c:pt idx="0">
                  <c:v>2104.636</c:v>
                </c:pt>
                <c:pt idx="1">
                  <c:v>2165.7260000000001</c:v>
                </c:pt>
                <c:pt idx="2">
                  <c:v>2376.3029999999999</c:v>
                </c:pt>
                <c:pt idx="3">
                  <c:v>2297.2959999999998</c:v>
                </c:pt>
                <c:pt idx="4">
                  <c:v>1800.934</c:v>
                </c:pt>
                <c:pt idx="5">
                  <c:v>1769.646</c:v>
                </c:pt>
                <c:pt idx="6">
                  <c:v>2077.087</c:v>
                </c:pt>
                <c:pt idx="7">
                  <c:v>1867.826</c:v>
                </c:pt>
                <c:pt idx="8">
                  <c:v>2024.748</c:v>
                </c:pt>
                <c:pt idx="9">
                  <c:v>1911.5239999999999</c:v>
                </c:pt>
                <c:pt idx="10">
                  <c:v>1768.577</c:v>
                </c:pt>
                <c:pt idx="11">
                  <c:v>1765.0809999999999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10-4F6D-9694-6D57A6680D31}"/>
            </c:ext>
          </c:extLst>
        </c:ser>
        <c:ser>
          <c:idx val="7"/>
          <c:order val="7"/>
          <c:tx>
            <c:strRef>
              <c:f>Sheet1!$A$265</c:f>
              <c:strCache>
                <c:ptCount val="1"/>
                <c:pt idx="0">
                  <c:v>G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Sheet1!$B$265:$M$265</c:f>
              <c:numCache>
                <c:formatCode>#,##0.00</c:formatCode>
                <c:ptCount val="12"/>
                <c:pt idx="0">
                  <c:v>3568.09</c:v>
                </c:pt>
                <c:pt idx="1">
                  <c:v>0</c:v>
                </c:pt>
                <c:pt idx="2">
                  <c:v>6675.46</c:v>
                </c:pt>
                <c:pt idx="3">
                  <c:v>3939.13</c:v>
                </c:pt>
                <c:pt idx="4">
                  <c:v>3091.82</c:v>
                </c:pt>
                <c:pt idx="5">
                  <c:v>2936.41</c:v>
                </c:pt>
                <c:pt idx="6">
                  <c:v>3504.03</c:v>
                </c:pt>
                <c:pt idx="7">
                  <c:v>3407.88</c:v>
                </c:pt>
                <c:pt idx="8">
                  <c:v>3105.77</c:v>
                </c:pt>
                <c:pt idx="9">
                  <c:v>3177.92</c:v>
                </c:pt>
                <c:pt idx="10">
                  <c:v>3030.72</c:v>
                </c:pt>
                <c:pt idx="11">
                  <c:v>2923.52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10-4F6D-9694-6D57A6680D31}"/>
            </c:ext>
          </c:extLst>
        </c:ser>
        <c:ser>
          <c:idx val="8"/>
          <c:order val="8"/>
          <c:tx>
            <c:strRef>
              <c:f>Sheet1!$A$266</c:f>
              <c:strCache>
                <c:ptCount val="1"/>
                <c:pt idx="0">
                  <c:v>IGNORE_THIS_1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Sheet1!$B$266:$M$266</c:f>
              <c:numCache>
                <c:formatCode>#,##0.00</c:formatCode>
                <c:ptCount val="12"/>
                <c:pt idx="0" formatCode="General">
                  <c:v>1410.7629999999999</c:v>
                </c:pt>
                <c:pt idx="1">
                  <c:v>1475.5119999999999</c:v>
                </c:pt>
                <c:pt idx="2">
                  <c:v>1764.452</c:v>
                </c:pt>
                <c:pt idx="3">
                  <c:v>1671.3309999999999</c:v>
                </c:pt>
                <c:pt idx="4">
                  <c:v>1218.258</c:v>
                </c:pt>
                <c:pt idx="5">
                  <c:v>1133.1310000000001</c:v>
                </c:pt>
                <c:pt idx="6">
                  <c:v>1443.164</c:v>
                </c:pt>
                <c:pt idx="7">
                  <c:v>1385.8679999999999</c:v>
                </c:pt>
                <c:pt idx="8">
                  <c:v>1241.6289999999999</c:v>
                </c:pt>
                <c:pt idx="9">
                  <c:v>1299.2329999999999</c:v>
                </c:pt>
                <c:pt idx="10">
                  <c:v>1186.7639999999999</c:v>
                </c:pt>
                <c:pt idx="11">
                  <c:v>1136.7929999999999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10-4F6D-9694-6D57A6680D31}"/>
            </c:ext>
          </c:extLst>
        </c:ser>
        <c:ser>
          <c:idx val="9"/>
          <c:order val="9"/>
          <c:tx>
            <c:strRef>
              <c:f>Sheet1!$A$267</c:f>
              <c:strCache>
                <c:ptCount val="1"/>
                <c:pt idx="0">
                  <c:v>GS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Sheet1!$B$267:$M$267</c:f>
              <c:numCache>
                <c:formatCode>#,##0.00</c:formatCode>
                <c:ptCount val="12"/>
                <c:pt idx="0" formatCode="General">
                  <c:v>5453.3490000000002</c:v>
                </c:pt>
                <c:pt idx="1">
                  <c:v>5653.317</c:v>
                </c:pt>
                <c:pt idx="2">
                  <c:v>6283.6409999999996</c:v>
                </c:pt>
                <c:pt idx="3">
                  <c:v>6060.7569999999996</c:v>
                </c:pt>
                <c:pt idx="4">
                  <c:v>4767.9769999999999</c:v>
                </c:pt>
                <c:pt idx="5">
                  <c:v>4537.9290000000001</c:v>
                </c:pt>
                <c:pt idx="6">
                  <c:v>5385.7569999999996</c:v>
                </c:pt>
                <c:pt idx="7">
                  <c:v>5246.1030000000001</c:v>
                </c:pt>
                <c:pt idx="8">
                  <c:v>4771.8580000000002</c:v>
                </c:pt>
                <c:pt idx="9">
                  <c:v>4859.5640000000003</c:v>
                </c:pt>
                <c:pt idx="10">
                  <c:v>4675.2849999999999</c:v>
                </c:pt>
                <c:pt idx="11">
                  <c:v>4507.643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010-4F6D-9694-6D57A6680D31}"/>
            </c:ext>
          </c:extLst>
        </c:ser>
        <c:ser>
          <c:idx val="10"/>
          <c:order val="10"/>
          <c:tx>
            <c:strRef>
              <c:f>Sheet1!$A$268</c:f>
              <c:strCache>
                <c:ptCount val="1"/>
                <c:pt idx="0">
                  <c:v>I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Sheet1!$B$268:$M$268</c:f>
              <c:numCache>
                <c:formatCode>#,##0.00</c:formatCode>
                <c:ptCount val="12"/>
                <c:pt idx="0" formatCode="General">
                  <c:v>2752.134</c:v>
                </c:pt>
                <c:pt idx="1">
                  <c:v>2832.0970000000002</c:v>
                </c:pt>
                <c:pt idx="2">
                  <c:v>3098.2289999999998</c:v>
                </c:pt>
                <c:pt idx="3">
                  <c:v>2997.0279999999998</c:v>
                </c:pt>
                <c:pt idx="4">
                  <c:v>2440.9870000000001</c:v>
                </c:pt>
                <c:pt idx="5">
                  <c:v>2340.2689999999998</c:v>
                </c:pt>
                <c:pt idx="6">
                  <c:v>2709.915</c:v>
                </c:pt>
                <c:pt idx="7">
                  <c:v>2646.8029999999999</c:v>
                </c:pt>
                <c:pt idx="8">
                  <c:v>2450.7570000000001</c:v>
                </c:pt>
                <c:pt idx="9">
                  <c:v>2498.183</c:v>
                </c:pt>
                <c:pt idx="10">
                  <c:v>2401.4259999999999</c:v>
                </c:pt>
                <c:pt idx="11">
                  <c:v>2332.404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10-4F6D-9694-6D57A6680D31}"/>
            </c:ext>
          </c:extLst>
        </c:ser>
        <c:ser>
          <c:idx val="11"/>
          <c:order val="11"/>
          <c:tx>
            <c:strRef>
              <c:f>Sheet1!$A$269</c:f>
              <c:strCache>
                <c:ptCount val="1"/>
                <c:pt idx="0">
                  <c:v>IG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Sheet1!$B$269:$M$269</c:f>
              <c:numCache>
                <c:formatCode>#,##0.00</c:formatCode>
                <c:ptCount val="12"/>
                <c:pt idx="0" formatCode="General">
                  <c:v>4235.2510000000002</c:v>
                </c:pt>
                <c:pt idx="1">
                  <c:v>4370.6729999999998</c:v>
                </c:pt>
                <c:pt idx="2">
                  <c:v>4778.9380000000001</c:v>
                </c:pt>
                <c:pt idx="3">
                  <c:v>4623.3280000000004</c:v>
                </c:pt>
                <c:pt idx="4">
                  <c:v>3725.8209999999999</c:v>
                </c:pt>
                <c:pt idx="5">
                  <c:v>3567.9079999999999</c:v>
                </c:pt>
                <c:pt idx="6">
                  <c:v>4152.3280000000004</c:v>
                </c:pt>
                <c:pt idx="7">
                  <c:v>4055.8719999999998</c:v>
                </c:pt>
                <c:pt idx="8">
                  <c:v>3727.87</c:v>
                </c:pt>
                <c:pt idx="9">
                  <c:v>3787.2379999999998</c:v>
                </c:pt>
                <c:pt idx="10">
                  <c:v>3662.0540000000001</c:v>
                </c:pt>
                <c:pt idx="11">
                  <c:v>3546.701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010-4F6D-9694-6D57A6680D31}"/>
            </c:ext>
          </c:extLst>
        </c:ser>
        <c:ser>
          <c:idx val="12"/>
          <c:order val="12"/>
          <c:tx>
            <c:strRef>
              <c:f>Sheet1!$A$270</c:f>
              <c:strCache>
                <c:ptCount val="1"/>
                <c:pt idx="0">
                  <c:v>IS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Sheet1!$B$270:$M$270</c:f>
              <c:numCache>
                <c:formatCode>#,##0.00</c:formatCode>
                <c:ptCount val="12"/>
                <c:pt idx="0" formatCode="General">
                  <c:v>2816.819</c:v>
                </c:pt>
                <c:pt idx="1">
                  <c:v>2899.2</c:v>
                </c:pt>
                <c:pt idx="2">
                  <c:v>3171.5279999999998</c:v>
                </c:pt>
                <c:pt idx="3">
                  <c:v>3067.9450000000002</c:v>
                </c:pt>
                <c:pt idx="4">
                  <c:v>2497.0210000000002</c:v>
                </c:pt>
                <c:pt idx="5">
                  <c:v>2393.808</c:v>
                </c:pt>
                <c:pt idx="6">
                  <c:v>2772.8240000000001</c:v>
                </c:pt>
                <c:pt idx="7">
                  <c:v>2708.248</c:v>
                </c:pt>
                <c:pt idx="8">
                  <c:v>2506.4450000000002</c:v>
                </c:pt>
                <c:pt idx="9">
                  <c:v>2554.3989999999999</c:v>
                </c:pt>
                <c:pt idx="10">
                  <c:v>2456.4110000000001</c:v>
                </c:pt>
                <c:pt idx="11">
                  <c:v>2385.3629999999998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010-4F6D-9694-6D57A6680D31}"/>
            </c:ext>
          </c:extLst>
        </c:ser>
        <c:ser>
          <c:idx val="13"/>
          <c:order val="13"/>
          <c:tx>
            <c:strRef>
              <c:f>Sheet1!$A$271</c:f>
              <c:strCache>
                <c:ptCount val="1"/>
                <c:pt idx="0">
                  <c:v>IGS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Sheet1!$B$271:$M$271</c:f>
              <c:numCache>
                <c:formatCode>#,##0.00</c:formatCode>
                <c:ptCount val="12"/>
                <c:pt idx="0" formatCode="General">
                  <c:v>6105.277</c:v>
                </c:pt>
                <c:pt idx="1">
                  <c:v>6310.616</c:v>
                </c:pt>
                <c:pt idx="2">
                  <c:v>6952.6909999999998</c:v>
                </c:pt>
                <c:pt idx="3">
                  <c:v>6724.473</c:v>
                </c:pt>
                <c:pt idx="4">
                  <c:v>5345.835</c:v>
                </c:pt>
                <c:pt idx="5">
                  <c:v>5115.79</c:v>
                </c:pt>
                <c:pt idx="6">
                  <c:v>5971.0349999999999</c:v>
                </c:pt>
                <c:pt idx="7">
                  <c:v>5888.5810000000001</c:v>
                </c:pt>
                <c:pt idx="8">
                  <c:v>5401.4359999999997</c:v>
                </c:pt>
                <c:pt idx="9">
                  <c:v>5490.2960000000003</c:v>
                </c:pt>
                <c:pt idx="10">
                  <c:v>5251.52</c:v>
                </c:pt>
                <c:pt idx="11">
                  <c:v>5077.7650000000003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010-4F6D-9694-6D57A6680D31}"/>
            </c:ext>
          </c:extLst>
        </c:ser>
        <c:ser>
          <c:idx val="14"/>
          <c:order val="14"/>
          <c:tx>
            <c:strRef>
              <c:f>Sheet1!$A$272</c:f>
              <c:strCache>
                <c:ptCount val="1"/>
                <c:pt idx="0">
                  <c:v>GSD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Sheet1!$B$272:$M$272</c:f>
              <c:numCache>
                <c:formatCode>#,##0.00</c:formatCode>
                <c:ptCount val="12"/>
                <c:pt idx="0" formatCode="General">
                  <c:v>5976.308</c:v>
                </c:pt>
                <c:pt idx="1">
                  <c:v>6176.8630000000003</c:v>
                </c:pt>
                <c:pt idx="2">
                  <c:v>6752.02</c:v>
                </c:pt>
                <c:pt idx="3">
                  <c:v>6532.5709999999999</c:v>
                </c:pt>
                <c:pt idx="4">
                  <c:v>5234.1790000000001</c:v>
                </c:pt>
                <c:pt idx="5">
                  <c:v>5009.1099999999997</c:v>
                </c:pt>
                <c:pt idx="6">
                  <c:v>5845.6750000000002</c:v>
                </c:pt>
                <c:pt idx="7">
                  <c:v>5710.0820000000003</c:v>
                </c:pt>
                <c:pt idx="8">
                  <c:v>5227.08</c:v>
                </c:pt>
                <c:pt idx="9">
                  <c:v>5300.5439999999999</c:v>
                </c:pt>
                <c:pt idx="10">
                  <c:v>5141.99</c:v>
                </c:pt>
                <c:pt idx="11">
                  <c:v>4972.2560000000003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010-4F6D-9694-6D57A6680D31}"/>
            </c:ext>
          </c:extLst>
        </c:ser>
        <c:ser>
          <c:idx val="15"/>
          <c:order val="15"/>
          <c:tx>
            <c:strRef>
              <c:f>Sheet1!$A$273</c:f>
              <c:strCache>
                <c:ptCount val="1"/>
                <c:pt idx="0">
                  <c:v>IGNORE_THIS_2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Sheet1!$B$273:$M$273</c:f>
              <c:numCache>
                <c:formatCode>#,##0.00</c:formatCode>
                <c:ptCount val="12"/>
                <c:pt idx="0" formatCode="General">
                  <c:v>11634.79</c:v>
                </c:pt>
                <c:pt idx="1">
                  <c:v>12057.42</c:v>
                </c:pt>
                <c:pt idx="2">
                  <c:v>13259.97</c:v>
                </c:pt>
                <c:pt idx="3">
                  <c:v>12766.09</c:v>
                </c:pt>
                <c:pt idx="4">
                  <c:v>10104.530000000001</c:v>
                </c:pt>
                <c:pt idx="5">
                  <c:v>9653.9089999999997</c:v>
                </c:pt>
                <c:pt idx="6">
                  <c:v>11341.49</c:v>
                </c:pt>
                <c:pt idx="7">
                  <c:v>11073.05</c:v>
                </c:pt>
                <c:pt idx="8">
                  <c:v>10066.91</c:v>
                </c:pt>
                <c:pt idx="9">
                  <c:v>10187.61</c:v>
                </c:pt>
                <c:pt idx="10">
                  <c:v>9916.7510000000002</c:v>
                </c:pt>
                <c:pt idx="11">
                  <c:v>9564.5949999999993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010-4F6D-9694-6D57A6680D31}"/>
            </c:ext>
          </c:extLst>
        </c:ser>
        <c:ser>
          <c:idx val="16"/>
          <c:order val="16"/>
          <c:tx>
            <c:strRef>
              <c:f>Sheet1!$A$274</c:f>
              <c:strCache>
                <c:ptCount val="1"/>
                <c:pt idx="0">
                  <c:v>GD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Sheet1!$B$274:$M$274</c:f>
              <c:numCache>
                <c:formatCode>#,##0.00</c:formatCode>
                <c:ptCount val="12"/>
                <c:pt idx="0" formatCode="General">
                  <c:v>11086.69</c:v>
                </c:pt>
                <c:pt idx="1">
                  <c:v>11488.84</c:v>
                </c:pt>
                <c:pt idx="2">
                  <c:v>12584.34</c:v>
                </c:pt>
                <c:pt idx="3">
                  <c:v>12165.14</c:v>
                </c:pt>
                <c:pt idx="4">
                  <c:v>9629.7649999999994</c:v>
                </c:pt>
                <c:pt idx="5">
                  <c:v>9200.2999999999993</c:v>
                </c:pt>
                <c:pt idx="6">
                  <c:v>10808.5</c:v>
                </c:pt>
                <c:pt idx="7">
                  <c:v>10552.38</c:v>
                </c:pt>
                <c:pt idx="8">
                  <c:v>9595.0159999999996</c:v>
                </c:pt>
                <c:pt idx="9">
                  <c:v>9711.2180000000008</c:v>
                </c:pt>
                <c:pt idx="10">
                  <c:v>9450.9549999999999</c:v>
                </c:pt>
                <c:pt idx="11">
                  <c:v>9115.8979999999992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010-4F6D-9694-6D57A6680D31}"/>
            </c:ext>
          </c:extLst>
        </c:ser>
        <c:ser>
          <c:idx val="17"/>
          <c:order val="17"/>
          <c:tx>
            <c:strRef>
              <c:f>Sheet1!$A$275</c:f>
              <c:strCache>
                <c:ptCount val="1"/>
                <c:pt idx="0">
                  <c:v>GN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Sheet1!$B$275:$M$275</c:f>
              <c:numCache>
                <c:formatCode>#,##0.00</c:formatCode>
                <c:ptCount val="12"/>
                <c:pt idx="0" formatCode="General">
                  <c:v>7685.7460000000001</c:v>
                </c:pt>
                <c:pt idx="1">
                  <c:v>7960.74</c:v>
                </c:pt>
                <c:pt idx="2">
                  <c:v>8784.83</c:v>
                </c:pt>
                <c:pt idx="3">
                  <c:v>8435.7929999999997</c:v>
                </c:pt>
                <c:pt idx="4">
                  <c:v>6683.4520000000002</c:v>
                </c:pt>
                <c:pt idx="5">
                  <c:v>6385.1540000000005</c:v>
                </c:pt>
                <c:pt idx="6">
                  <c:v>7500.8379999999997</c:v>
                </c:pt>
                <c:pt idx="7">
                  <c:v>7321.1779999999999</c:v>
                </c:pt>
                <c:pt idx="8">
                  <c:v>6666.4070000000002</c:v>
                </c:pt>
                <c:pt idx="9">
                  <c:v>6755.3360000000002</c:v>
                </c:pt>
                <c:pt idx="10">
                  <c:v>6560.1559999999999</c:v>
                </c:pt>
                <c:pt idx="11">
                  <c:v>6331.357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010-4F6D-9694-6D57A6680D31}"/>
            </c:ext>
          </c:extLst>
        </c:ser>
        <c:ser>
          <c:idx val="18"/>
          <c:order val="18"/>
          <c:tx>
            <c:strRef>
              <c:f>Sheet1!$A$276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Sheet1!$B$276:$M$276</c:f>
              <c:numCache>
                <c:formatCode>#,##0.00</c:formatCode>
                <c:ptCount val="12"/>
                <c:pt idx="0" formatCode="General">
                  <c:v>11569.27</c:v>
                </c:pt>
                <c:pt idx="1">
                  <c:v>11989.6</c:v>
                </c:pt>
                <c:pt idx="2">
                  <c:v>13131.43</c:v>
                </c:pt>
                <c:pt idx="3">
                  <c:v>12693.91</c:v>
                </c:pt>
                <c:pt idx="4">
                  <c:v>10047.98</c:v>
                </c:pt>
                <c:pt idx="5">
                  <c:v>9600.25</c:v>
                </c:pt>
                <c:pt idx="6">
                  <c:v>11277.72</c:v>
                </c:pt>
                <c:pt idx="7">
                  <c:v>11011.42</c:v>
                </c:pt>
                <c:pt idx="8">
                  <c:v>10011.01</c:v>
                </c:pt>
                <c:pt idx="9">
                  <c:v>10131.06</c:v>
                </c:pt>
                <c:pt idx="10">
                  <c:v>9861.4259999999995</c:v>
                </c:pt>
                <c:pt idx="11">
                  <c:v>9511.8690000000006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010-4F6D-9694-6D57A6680D31}"/>
            </c:ext>
          </c:extLst>
        </c:ser>
        <c:ser>
          <c:idx val="19"/>
          <c:order val="19"/>
          <c:tx>
            <c:strRef>
              <c:f>Sheet1!$A$277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Sheet1!$B$277:$M$277</c:f>
              <c:numCache>
                <c:formatCode>#,##0.00</c:formatCode>
                <c:ptCount val="12"/>
                <c:pt idx="0" formatCode="General">
                  <c:v>4510.5860000000002</c:v>
                </c:pt>
                <c:pt idx="1">
                  <c:v>4685.8140000000003</c:v>
                </c:pt>
                <c:pt idx="2">
                  <c:v>5201.5829999999996</c:v>
                </c:pt>
                <c:pt idx="3">
                  <c:v>5005.2219999999998</c:v>
                </c:pt>
                <c:pt idx="4">
                  <c:v>3861.6010000000001</c:v>
                </c:pt>
                <c:pt idx="5">
                  <c:v>3662.0309999999999</c:v>
                </c:pt>
                <c:pt idx="6">
                  <c:v>4397.2709999999997</c:v>
                </c:pt>
                <c:pt idx="7">
                  <c:v>4274.66</c:v>
                </c:pt>
                <c:pt idx="8">
                  <c:v>3852.4870000000001</c:v>
                </c:pt>
                <c:pt idx="9">
                  <c:v>3921.0279999999998</c:v>
                </c:pt>
                <c:pt idx="10">
                  <c:v>3782.9670000000001</c:v>
                </c:pt>
                <c:pt idx="11">
                  <c:v>3627.203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010-4F6D-9694-6D57A6680D31}"/>
            </c:ext>
          </c:extLst>
        </c:ser>
        <c:ser>
          <c:idx val="20"/>
          <c:order val="20"/>
          <c:tx>
            <c:strRef>
              <c:f>Sheet1!$A$278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Sheet1!$B$257:$M$257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Sheet1!$B$278:$M$278</c:f>
              <c:numCache>
                <c:formatCode>#,##0.00</c:formatCode>
                <c:ptCount val="12"/>
                <c:pt idx="0" formatCode="General">
                  <c:v>4510.3180000000002</c:v>
                </c:pt>
                <c:pt idx="1">
                  <c:v>4685.5950000000003</c:v>
                </c:pt>
                <c:pt idx="2">
                  <c:v>5201.2460000000001</c:v>
                </c:pt>
                <c:pt idx="3">
                  <c:v>5004.7219999999998</c:v>
                </c:pt>
                <c:pt idx="4">
                  <c:v>3861.3249999999998</c:v>
                </c:pt>
                <c:pt idx="5">
                  <c:v>3661.8780000000002</c:v>
                </c:pt>
                <c:pt idx="6">
                  <c:v>4396.884</c:v>
                </c:pt>
                <c:pt idx="7">
                  <c:v>4274.4859999999999</c:v>
                </c:pt>
                <c:pt idx="8">
                  <c:v>3852.3009999999999</c:v>
                </c:pt>
                <c:pt idx="9">
                  <c:v>3920.8290000000002</c:v>
                </c:pt>
                <c:pt idx="10">
                  <c:v>3782.7060000000001</c:v>
                </c:pt>
                <c:pt idx="11">
                  <c:v>3627.1370000000002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010-4F6D-9694-6D57A6680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785809"/>
        <c:axId val="1622502032"/>
      </c:lineChart>
      <c:catAx>
        <c:axId val="431785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2502032"/>
        <c:crosses val="autoZero"/>
        <c:auto val="1"/>
        <c:lblAlgn val="ctr"/>
        <c:lblOffset val="100"/>
        <c:noMultiLvlLbl val="1"/>
      </c:catAx>
      <c:valAx>
        <c:axId val="1622502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178580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NMI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Sheet1!$A$34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Sheet1!$B$34:$M$34</c:f>
              <c:numCache>
                <c:formatCode>#,##0.00</c:formatCode>
                <c:ptCount val="12"/>
                <c:pt idx="0">
                  <c:v>0.41706973756784599</c:v>
                </c:pt>
                <c:pt idx="1">
                  <c:v>0.49885036263728599</c:v>
                </c:pt>
                <c:pt idx="2">
                  <c:v>0.61113214583523701</c:v>
                </c:pt>
                <c:pt idx="3">
                  <c:v>0.50272828160081195</c:v>
                </c:pt>
                <c:pt idx="4">
                  <c:v>0.56667581808553302</c:v>
                </c:pt>
                <c:pt idx="5">
                  <c:v>0.45647666549058002</c:v>
                </c:pt>
                <c:pt idx="6">
                  <c:v>0.572282301300573</c:v>
                </c:pt>
                <c:pt idx="7">
                  <c:v>0.59439902720712401</c:v>
                </c:pt>
                <c:pt idx="8">
                  <c:v>0.66062845494113098</c:v>
                </c:pt>
                <c:pt idx="9">
                  <c:v>0.64569221433163804</c:v>
                </c:pt>
                <c:pt idx="10">
                  <c:v>0.58156027415112899</c:v>
                </c:pt>
                <c:pt idx="11">
                  <c:v>0.55201118521304604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6-49B9-A06B-CA38D5F696DE}"/>
            </c:ext>
          </c:extLst>
        </c:ser>
        <c:ser>
          <c:idx val="1"/>
          <c:order val="1"/>
          <c:tx>
            <c:strRef>
              <c:f>Sheet1!$A$35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Sheet1!$B$35:$M$35</c:f>
              <c:numCache>
                <c:formatCode>#,##0.00</c:formatCode>
                <c:ptCount val="12"/>
                <c:pt idx="0">
                  <c:v>0.64517388888419402</c:v>
                </c:pt>
                <c:pt idx="1">
                  <c:v>0.58568763821429903</c:v>
                </c:pt>
                <c:pt idx="2">
                  <c:v>0.636452802441696</c:v>
                </c:pt>
                <c:pt idx="3">
                  <c:v>0.60911419118185695</c:v>
                </c:pt>
                <c:pt idx="4">
                  <c:v>0.54894527519188896</c:v>
                </c:pt>
                <c:pt idx="5">
                  <c:v>0.52742797956930698</c:v>
                </c:pt>
                <c:pt idx="6">
                  <c:v>0.65446553955639797</c:v>
                </c:pt>
                <c:pt idx="7">
                  <c:v>0.63688360125757004</c:v>
                </c:pt>
                <c:pt idx="8">
                  <c:v>0.70901546723116904</c:v>
                </c:pt>
                <c:pt idx="9">
                  <c:v>0.60063174126610896</c:v>
                </c:pt>
                <c:pt idx="10">
                  <c:v>0.67141692669946895</c:v>
                </c:pt>
                <c:pt idx="11">
                  <c:v>0.67256372918963103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36-49B9-A06B-CA38D5F696DE}"/>
            </c:ext>
          </c:extLst>
        </c:ser>
        <c:ser>
          <c:idx val="2"/>
          <c:order val="2"/>
          <c:tx>
            <c:strRef>
              <c:f>Sheet1!$A$36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Sheet1!$B$36:$M$36</c:f>
              <c:numCache>
                <c:formatCode>#,##0.00</c:formatCode>
                <c:ptCount val="12"/>
                <c:pt idx="0">
                  <c:v>0.46929840638718301</c:v>
                </c:pt>
                <c:pt idx="1">
                  <c:v>0.41310900058544497</c:v>
                </c:pt>
                <c:pt idx="2">
                  <c:v>0.39797721904861799</c:v>
                </c:pt>
                <c:pt idx="3">
                  <c:v>0.38062571208344798</c:v>
                </c:pt>
                <c:pt idx="4">
                  <c:v>0.43167892256946699</c:v>
                </c:pt>
                <c:pt idx="5">
                  <c:v>0.37757426007105999</c:v>
                </c:pt>
                <c:pt idx="6">
                  <c:v>0.41799724345016098</c:v>
                </c:pt>
                <c:pt idx="7">
                  <c:v>0.44076971317519598</c:v>
                </c:pt>
                <c:pt idx="8">
                  <c:v>0.49827841230305497</c:v>
                </c:pt>
                <c:pt idx="9">
                  <c:v>0.443379824078736</c:v>
                </c:pt>
                <c:pt idx="10">
                  <c:v>0.38350549377748899</c:v>
                </c:pt>
                <c:pt idx="11">
                  <c:v>0.4145961202415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36-49B9-A06B-CA38D5F696DE}"/>
            </c:ext>
          </c:extLst>
        </c:ser>
        <c:ser>
          <c:idx val="3"/>
          <c:order val="3"/>
          <c:tx>
            <c:strRef>
              <c:f>Sheet1!$A$37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Sheet1!$B$37:$M$37</c:f>
              <c:numCache>
                <c:formatCode>#,##0.00</c:formatCode>
                <c:ptCount val="12"/>
                <c:pt idx="0">
                  <c:v>0.68734566603352798</c:v>
                </c:pt>
                <c:pt idx="1">
                  <c:v>0.58000512751177002</c:v>
                </c:pt>
                <c:pt idx="2">
                  <c:v>0.59008573277785303</c:v>
                </c:pt>
                <c:pt idx="3">
                  <c:v>0.58556857796247397</c:v>
                </c:pt>
                <c:pt idx="4">
                  <c:v>0.55058461806702497</c:v>
                </c:pt>
                <c:pt idx="5">
                  <c:v>0.639837902609947</c:v>
                </c:pt>
                <c:pt idx="6">
                  <c:v>0.45725112366452703</c:v>
                </c:pt>
                <c:pt idx="7">
                  <c:v>0.65688237513101499</c:v>
                </c:pt>
                <c:pt idx="8">
                  <c:v>0.62824373821623003</c:v>
                </c:pt>
                <c:pt idx="9">
                  <c:v>0.67026256676663598</c:v>
                </c:pt>
                <c:pt idx="10">
                  <c:v>0.67398270711731501</c:v>
                </c:pt>
                <c:pt idx="11">
                  <c:v>0.62755660400356195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36-49B9-A06B-CA38D5F696DE}"/>
            </c:ext>
          </c:extLst>
        </c:ser>
        <c:ser>
          <c:idx val="4"/>
          <c:order val="4"/>
          <c:tx>
            <c:strRef>
              <c:f>Sheet1!$A$38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Sheet1!$B$38:$M$38</c:f>
              <c:numCache>
                <c:formatCode>#,##0.00</c:formatCode>
                <c:ptCount val="12"/>
                <c:pt idx="0">
                  <c:v>0.54142199999999996</c:v>
                </c:pt>
                <c:pt idx="1">
                  <c:v>0.50452200000000003</c:v>
                </c:pt>
                <c:pt idx="2">
                  <c:v>0.53961000000000003</c:v>
                </c:pt>
                <c:pt idx="3">
                  <c:v>0.55938500000000002</c:v>
                </c:pt>
                <c:pt idx="4">
                  <c:v>0.45294899999999999</c:v>
                </c:pt>
                <c:pt idx="5">
                  <c:v>0.43862099999999998</c:v>
                </c:pt>
                <c:pt idx="6">
                  <c:v>0.56400700000000004</c:v>
                </c:pt>
                <c:pt idx="7">
                  <c:v>0.60863299999999998</c:v>
                </c:pt>
                <c:pt idx="8">
                  <c:v>0.62631499999999996</c:v>
                </c:pt>
                <c:pt idx="9">
                  <c:v>0.52862900000000002</c:v>
                </c:pt>
                <c:pt idx="10">
                  <c:v>0.50239100000000003</c:v>
                </c:pt>
                <c:pt idx="11">
                  <c:v>0.50408299999999995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36-49B9-A06B-CA38D5F696DE}"/>
            </c:ext>
          </c:extLst>
        </c:ser>
        <c:ser>
          <c:idx val="5"/>
          <c:order val="5"/>
          <c:tx>
            <c:strRef>
              <c:f>Sheet1!$A$39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Sheet1!$B$39:$M$39</c:f>
              <c:numCache>
                <c:formatCode>#,##0.00</c:formatCode>
                <c:ptCount val="12"/>
                <c:pt idx="0">
                  <c:v>0.64946875406839499</c:v>
                </c:pt>
                <c:pt idx="1">
                  <c:v>0.64357453974384904</c:v>
                </c:pt>
                <c:pt idx="2">
                  <c:v>0.62259072971385998</c:v>
                </c:pt>
                <c:pt idx="3">
                  <c:v>0.65180942786099605</c:v>
                </c:pt>
                <c:pt idx="4">
                  <c:v>0.596296759994977</c:v>
                </c:pt>
                <c:pt idx="5">
                  <c:v>0.54962545286133602</c:v>
                </c:pt>
                <c:pt idx="6">
                  <c:v>0.71898669483911404</c:v>
                </c:pt>
                <c:pt idx="7">
                  <c:v>0.70393896222989105</c:v>
                </c:pt>
                <c:pt idx="8">
                  <c:v>0.73245789767748504</c:v>
                </c:pt>
                <c:pt idx="9">
                  <c:v>0.61435260234483502</c:v>
                </c:pt>
                <c:pt idx="10">
                  <c:v>0.618645199037829</c:v>
                </c:pt>
                <c:pt idx="11">
                  <c:v>0.65704174390812897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36-49B9-A06B-CA38D5F696DE}"/>
            </c:ext>
          </c:extLst>
        </c:ser>
        <c:ser>
          <c:idx val="6"/>
          <c:order val="6"/>
          <c:tx>
            <c:strRef>
              <c:f>Sheet1!$A$40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Sheet1!$B$40:$M$40</c:f>
              <c:numCache>
                <c:formatCode>#,##0.00</c:formatCode>
                <c:ptCount val="12"/>
                <c:pt idx="0">
                  <c:v>0.69353799999999999</c:v>
                </c:pt>
                <c:pt idx="1">
                  <c:v>0.58291800000000005</c:v>
                </c:pt>
                <c:pt idx="2">
                  <c:v>0.61853899999999995</c:v>
                </c:pt>
                <c:pt idx="3">
                  <c:v>0.53911799999999999</c:v>
                </c:pt>
                <c:pt idx="4">
                  <c:v>0.61810600000000004</c:v>
                </c:pt>
                <c:pt idx="5">
                  <c:v>0.57267199999999996</c:v>
                </c:pt>
                <c:pt idx="6">
                  <c:v>0.68634300000000004</c:v>
                </c:pt>
                <c:pt idx="7">
                  <c:v>0.71264899999999998</c:v>
                </c:pt>
                <c:pt idx="8">
                  <c:v>0.69526200000000005</c:v>
                </c:pt>
                <c:pt idx="9">
                  <c:v>0.66358899999999998</c:v>
                </c:pt>
                <c:pt idx="10">
                  <c:v>0.63737500000000002</c:v>
                </c:pt>
                <c:pt idx="11">
                  <c:v>0.695469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36-49B9-A06B-CA38D5F696DE}"/>
            </c:ext>
          </c:extLst>
        </c:ser>
        <c:ser>
          <c:idx val="7"/>
          <c:order val="7"/>
          <c:tx>
            <c:strRef>
              <c:f>Sheet1!$A$41</c:f>
              <c:strCache>
                <c:ptCount val="1"/>
                <c:pt idx="0">
                  <c:v>G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Sheet1!$B$41:$M$41</c:f>
              <c:numCache>
                <c:formatCode>#,##0.00</c:formatCode>
                <c:ptCount val="12"/>
                <c:pt idx="0">
                  <c:v>0.67</c:v>
                </c:pt>
                <c:pt idx="1">
                  <c:v>0</c:v>
                </c:pt>
                <c:pt idx="2">
                  <c:v>0.62</c:v>
                </c:pt>
                <c:pt idx="3">
                  <c:v>0.61</c:v>
                </c:pt>
                <c:pt idx="4">
                  <c:v>0.57999999999999996</c:v>
                </c:pt>
                <c:pt idx="5">
                  <c:v>0.56999999999999995</c:v>
                </c:pt>
                <c:pt idx="6">
                  <c:v>0.69</c:v>
                </c:pt>
                <c:pt idx="7" formatCode="General">
                  <c:v>0.68</c:v>
                </c:pt>
                <c:pt idx="8" formatCode="General">
                  <c:v>0.73</c:v>
                </c:pt>
                <c:pt idx="9" formatCode="General">
                  <c:v>0.69</c:v>
                </c:pt>
                <c:pt idx="10" formatCode="General">
                  <c:v>0.62</c:v>
                </c:pt>
                <c:pt idx="11" formatCode="General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36-49B9-A06B-CA38D5F696DE}"/>
            </c:ext>
          </c:extLst>
        </c:ser>
        <c:ser>
          <c:idx val="8"/>
          <c:order val="8"/>
          <c:tx>
            <c:strRef>
              <c:f>Sheet1!$A$42</c:f>
              <c:strCache>
                <c:ptCount val="1"/>
                <c:pt idx="0">
                  <c:v>IGNORE_THIS_1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Sheet1!$B$42:$M$42</c:f>
              <c:numCache>
                <c:formatCode>#,##0.00</c:formatCode>
                <c:ptCount val="12"/>
                <c:pt idx="0">
                  <c:v>0.52151700000000001</c:v>
                </c:pt>
                <c:pt idx="1">
                  <c:v>0.57371300000000003</c:v>
                </c:pt>
                <c:pt idx="2">
                  <c:v>0.57292399999999999</c:v>
                </c:pt>
                <c:pt idx="3">
                  <c:v>0.59476899999999999</c:v>
                </c:pt>
                <c:pt idx="4">
                  <c:v>0.60464600000000002</c:v>
                </c:pt>
                <c:pt idx="5">
                  <c:v>0.55809500000000001</c:v>
                </c:pt>
                <c:pt idx="6">
                  <c:v>0.71435599999999999</c:v>
                </c:pt>
                <c:pt idx="7" formatCode="General">
                  <c:v>0.69172800000000001</c:v>
                </c:pt>
                <c:pt idx="8" formatCode="General">
                  <c:v>0.69874000000000003</c:v>
                </c:pt>
                <c:pt idx="9" formatCode="General">
                  <c:v>0.64642500000000003</c:v>
                </c:pt>
                <c:pt idx="10" formatCode="General">
                  <c:v>0.65209799999999996</c:v>
                </c:pt>
                <c:pt idx="11" formatCode="General">
                  <c:v>0.59092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36-49B9-A06B-CA38D5F696DE}"/>
            </c:ext>
          </c:extLst>
        </c:ser>
        <c:ser>
          <c:idx val="9"/>
          <c:order val="9"/>
          <c:tx>
            <c:strRef>
              <c:f>Sheet1!$A$43</c:f>
              <c:strCache>
                <c:ptCount val="1"/>
                <c:pt idx="0">
                  <c:v>GS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Sheet1!$B$43:$M$43</c:f>
              <c:numCache>
                <c:formatCode>#,##0.00</c:formatCode>
                <c:ptCount val="12"/>
                <c:pt idx="0">
                  <c:v>0.656362</c:v>
                </c:pt>
                <c:pt idx="1">
                  <c:v>0.55319300000000005</c:v>
                </c:pt>
                <c:pt idx="2">
                  <c:v>0.62390699999999999</c:v>
                </c:pt>
                <c:pt idx="3">
                  <c:v>0.64648899999999998</c:v>
                </c:pt>
                <c:pt idx="4">
                  <c:v>0.61388100000000001</c:v>
                </c:pt>
                <c:pt idx="5">
                  <c:v>0.56691899999999995</c:v>
                </c:pt>
                <c:pt idx="6">
                  <c:v>0.70767199999999997</c:v>
                </c:pt>
                <c:pt idx="7" formatCode="General">
                  <c:v>0.67542800000000003</c:v>
                </c:pt>
                <c:pt idx="8" formatCode="General">
                  <c:v>0.69468099999999999</c:v>
                </c:pt>
                <c:pt idx="9" formatCode="General">
                  <c:v>0.63199300000000003</c:v>
                </c:pt>
                <c:pt idx="10" formatCode="General">
                  <c:v>0.665273</c:v>
                </c:pt>
                <c:pt idx="11" formatCode="General">
                  <c:v>0.69140900000000005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336-49B9-A06B-CA38D5F696DE}"/>
            </c:ext>
          </c:extLst>
        </c:ser>
        <c:ser>
          <c:idx val="10"/>
          <c:order val="10"/>
          <c:tx>
            <c:strRef>
              <c:f>Sheet1!$A$44</c:f>
              <c:strCache>
                <c:ptCount val="1"/>
                <c:pt idx="0">
                  <c:v>I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Sheet1!$B$44:$M$44</c:f>
              <c:numCache>
                <c:formatCode>#,##0.00</c:formatCode>
                <c:ptCount val="12"/>
                <c:pt idx="0">
                  <c:v>0.15554100000000001</c:v>
                </c:pt>
                <c:pt idx="1">
                  <c:v>0.23236299999999999</c:v>
                </c:pt>
                <c:pt idx="2">
                  <c:v>0.22800999999999999</c:v>
                </c:pt>
                <c:pt idx="3">
                  <c:v>0.20679800000000001</c:v>
                </c:pt>
                <c:pt idx="4">
                  <c:v>0.13306899999999999</c:v>
                </c:pt>
                <c:pt idx="5">
                  <c:v>0.131413</c:v>
                </c:pt>
                <c:pt idx="6">
                  <c:v>0.19732</c:v>
                </c:pt>
                <c:pt idx="7" formatCode="General">
                  <c:v>0.18326600000000001</c:v>
                </c:pt>
                <c:pt idx="8" formatCode="General">
                  <c:v>0.25445299999999998</c:v>
                </c:pt>
                <c:pt idx="9" formatCode="General">
                  <c:v>0.30268899999999999</c:v>
                </c:pt>
                <c:pt idx="10" formatCode="General">
                  <c:v>0.221743</c:v>
                </c:pt>
                <c:pt idx="11" formatCode="General">
                  <c:v>0.26608999999999999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336-49B9-A06B-CA38D5F696DE}"/>
            </c:ext>
          </c:extLst>
        </c:ser>
        <c:ser>
          <c:idx val="11"/>
          <c:order val="11"/>
          <c:tx>
            <c:strRef>
              <c:f>Sheet1!$A$45</c:f>
              <c:strCache>
                <c:ptCount val="1"/>
                <c:pt idx="0">
                  <c:v>IG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Sheet1!$B$45:$M$45</c:f>
              <c:numCache>
                <c:formatCode>#,##0.00</c:formatCode>
                <c:ptCount val="12"/>
                <c:pt idx="0">
                  <c:v>0.19406300000000001</c:v>
                </c:pt>
                <c:pt idx="1">
                  <c:v>0.23508799999999999</c:v>
                </c:pt>
                <c:pt idx="2">
                  <c:v>0.22040999999999999</c:v>
                </c:pt>
                <c:pt idx="3">
                  <c:v>0.21484600000000001</c:v>
                </c:pt>
                <c:pt idx="4">
                  <c:v>0.12667900000000001</c:v>
                </c:pt>
                <c:pt idx="5">
                  <c:v>0.156581</c:v>
                </c:pt>
                <c:pt idx="6">
                  <c:v>0.20998800000000001</c:v>
                </c:pt>
                <c:pt idx="7" formatCode="General">
                  <c:v>0.276036</c:v>
                </c:pt>
                <c:pt idx="8" formatCode="General">
                  <c:v>0.34403</c:v>
                </c:pt>
                <c:pt idx="9" formatCode="General">
                  <c:v>0.33760600000000002</c:v>
                </c:pt>
                <c:pt idx="10" formatCode="General">
                  <c:v>0.23163900000000001</c:v>
                </c:pt>
                <c:pt idx="11" formatCode="General">
                  <c:v>0.320938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336-49B9-A06B-CA38D5F696DE}"/>
            </c:ext>
          </c:extLst>
        </c:ser>
        <c:ser>
          <c:idx val="12"/>
          <c:order val="12"/>
          <c:tx>
            <c:strRef>
              <c:f>Sheet1!$A$46</c:f>
              <c:strCache>
                <c:ptCount val="1"/>
                <c:pt idx="0">
                  <c:v>IS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Sheet1!$B$46:$M$46</c:f>
              <c:numCache>
                <c:formatCode>#,##0.00</c:formatCode>
                <c:ptCount val="12"/>
                <c:pt idx="0">
                  <c:v>0.19376299999999999</c:v>
                </c:pt>
                <c:pt idx="1">
                  <c:v>0.22910800000000001</c:v>
                </c:pt>
                <c:pt idx="2">
                  <c:v>0.22659000000000001</c:v>
                </c:pt>
                <c:pt idx="3">
                  <c:v>0.21043400000000001</c:v>
                </c:pt>
                <c:pt idx="4">
                  <c:v>0.13147</c:v>
                </c:pt>
                <c:pt idx="5">
                  <c:v>0.14480399999999999</c:v>
                </c:pt>
                <c:pt idx="6">
                  <c:v>0.17736499999999999</c:v>
                </c:pt>
                <c:pt idx="7" formatCode="General">
                  <c:v>0.151896</c:v>
                </c:pt>
                <c:pt idx="8" formatCode="General">
                  <c:v>0.31126999999999999</c:v>
                </c:pt>
                <c:pt idx="9" formatCode="General">
                  <c:v>0.26622499999999999</c:v>
                </c:pt>
                <c:pt idx="10" formatCode="General">
                  <c:v>0.25258599999999998</c:v>
                </c:pt>
                <c:pt idx="11" formatCode="General">
                  <c:v>0.25338100000000002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336-49B9-A06B-CA38D5F696DE}"/>
            </c:ext>
          </c:extLst>
        </c:ser>
        <c:ser>
          <c:idx val="13"/>
          <c:order val="13"/>
          <c:tx>
            <c:strRef>
              <c:f>Sheet1!$A$47</c:f>
              <c:strCache>
                <c:ptCount val="1"/>
                <c:pt idx="0">
                  <c:v>IGS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Sheet1!$B$47:$M$47</c:f>
              <c:numCache>
                <c:formatCode>#,##0.00</c:formatCode>
                <c:ptCount val="12"/>
                <c:pt idx="0">
                  <c:v>0.24448600000000001</c:v>
                </c:pt>
                <c:pt idx="1">
                  <c:v>0.23711199999999999</c:v>
                </c:pt>
                <c:pt idx="2">
                  <c:v>0.25026500000000002</c:v>
                </c:pt>
                <c:pt idx="3">
                  <c:v>0.21207899999999999</c:v>
                </c:pt>
                <c:pt idx="4">
                  <c:v>0.140157</c:v>
                </c:pt>
                <c:pt idx="5">
                  <c:v>0.17543400000000001</c:v>
                </c:pt>
                <c:pt idx="6">
                  <c:v>0.23296500000000001</c:v>
                </c:pt>
                <c:pt idx="7" formatCode="General">
                  <c:v>0.28715299999999999</c:v>
                </c:pt>
                <c:pt idx="8" formatCode="General">
                  <c:v>0.36125600000000002</c:v>
                </c:pt>
                <c:pt idx="9" formatCode="General">
                  <c:v>0.31811099999999998</c:v>
                </c:pt>
                <c:pt idx="10" formatCode="General">
                  <c:v>0.25869399999999998</c:v>
                </c:pt>
                <c:pt idx="11" formatCode="General">
                  <c:v>0.29810999999999999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336-49B9-A06B-CA38D5F696DE}"/>
            </c:ext>
          </c:extLst>
        </c:ser>
        <c:ser>
          <c:idx val="14"/>
          <c:order val="14"/>
          <c:tx>
            <c:strRef>
              <c:f>Sheet1!$A$48</c:f>
              <c:strCache>
                <c:ptCount val="1"/>
                <c:pt idx="0">
                  <c:v>GSD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Sheet1!$B$48:$M$48</c:f>
              <c:numCache>
                <c:formatCode>#,##0.00</c:formatCode>
                <c:ptCount val="12"/>
                <c:pt idx="0">
                  <c:v>0.63378699999999999</c:v>
                </c:pt>
                <c:pt idx="1">
                  <c:v>0.57152899999999995</c:v>
                </c:pt>
                <c:pt idx="2">
                  <c:v>0.62237699999999996</c:v>
                </c:pt>
                <c:pt idx="3">
                  <c:v>0.62958800000000004</c:v>
                </c:pt>
                <c:pt idx="4">
                  <c:v>0.66152500000000003</c:v>
                </c:pt>
                <c:pt idx="5">
                  <c:v>0.56854400000000005</c:v>
                </c:pt>
                <c:pt idx="6">
                  <c:v>0.68274599999999996</c:v>
                </c:pt>
                <c:pt idx="7" formatCode="General">
                  <c:v>0.67180799999999996</c:v>
                </c:pt>
                <c:pt idx="8" formatCode="General">
                  <c:v>0.71032600000000001</c:v>
                </c:pt>
                <c:pt idx="9" formatCode="General">
                  <c:v>0.61065599999999998</c:v>
                </c:pt>
                <c:pt idx="10" formatCode="General">
                  <c:v>0.61752399999999996</c:v>
                </c:pt>
                <c:pt idx="11" formatCode="General">
                  <c:v>0.58826999999999996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336-49B9-A06B-CA38D5F696DE}"/>
            </c:ext>
          </c:extLst>
        </c:ser>
        <c:ser>
          <c:idx val="15"/>
          <c:order val="15"/>
          <c:tx>
            <c:strRef>
              <c:f>Sheet1!$A$49</c:f>
              <c:strCache>
                <c:ptCount val="1"/>
                <c:pt idx="0">
                  <c:v>IGNORE_THIS_2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Sheet1!$B$49:$M$49</c:f>
              <c:numCache>
                <c:formatCode>#,##0.00</c:formatCode>
                <c:ptCount val="12"/>
                <c:pt idx="0">
                  <c:v>0.30848500000000001</c:v>
                </c:pt>
                <c:pt idx="1">
                  <c:v>0.34568500000000002</c:v>
                </c:pt>
                <c:pt idx="2">
                  <c:v>0.142038</c:v>
                </c:pt>
                <c:pt idx="3">
                  <c:v>0.19362499999999999</c:v>
                </c:pt>
                <c:pt idx="4">
                  <c:v>6.0062999999999998E-2</c:v>
                </c:pt>
                <c:pt idx="5">
                  <c:v>0.45187500000000003</c:v>
                </c:pt>
                <c:pt idx="6">
                  <c:v>0.68623599999999996</c:v>
                </c:pt>
                <c:pt idx="7" formatCode="General">
                  <c:v>0.68746099999999999</c:v>
                </c:pt>
                <c:pt idx="8" formatCode="General">
                  <c:v>0.34403</c:v>
                </c:pt>
                <c:pt idx="9" formatCode="General">
                  <c:v>0.42710100000000001</c:v>
                </c:pt>
                <c:pt idx="10" formatCode="General">
                  <c:v>0.40674199999999999</c:v>
                </c:pt>
                <c:pt idx="11" formatCode="General">
                  <c:v>0.39013700000000001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336-49B9-A06B-CA38D5F696DE}"/>
            </c:ext>
          </c:extLst>
        </c:ser>
        <c:ser>
          <c:idx val="16"/>
          <c:order val="16"/>
          <c:tx>
            <c:strRef>
              <c:f>Sheet1!$A$50</c:f>
              <c:strCache>
                <c:ptCount val="1"/>
                <c:pt idx="0">
                  <c:v>GD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Sheet1!$B$50:$M$50</c:f>
              <c:numCache>
                <c:formatCode>#,##0.00</c:formatCode>
                <c:ptCount val="12"/>
                <c:pt idx="0">
                  <c:v>0.64673499999999995</c:v>
                </c:pt>
                <c:pt idx="1">
                  <c:v>0.64744999999999997</c:v>
                </c:pt>
                <c:pt idx="2">
                  <c:v>0.61230700000000005</c:v>
                </c:pt>
                <c:pt idx="3">
                  <c:v>0.60348500000000005</c:v>
                </c:pt>
                <c:pt idx="4">
                  <c:v>0.52908599999999995</c:v>
                </c:pt>
                <c:pt idx="5">
                  <c:v>0.57211599999999996</c:v>
                </c:pt>
                <c:pt idx="6">
                  <c:v>0.66663499999999998</c:v>
                </c:pt>
                <c:pt idx="7" formatCode="General">
                  <c:v>0.68091000000000002</c:v>
                </c:pt>
                <c:pt idx="8" formatCode="General">
                  <c:v>0.61582000000000003</c:v>
                </c:pt>
                <c:pt idx="9" formatCode="General">
                  <c:v>0.59239699999999995</c:v>
                </c:pt>
                <c:pt idx="10" formatCode="General">
                  <c:v>0.61530499999999999</c:v>
                </c:pt>
                <c:pt idx="11" formatCode="General">
                  <c:v>0.69180399999999997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336-49B9-A06B-CA38D5F696DE}"/>
            </c:ext>
          </c:extLst>
        </c:ser>
        <c:ser>
          <c:idx val="17"/>
          <c:order val="17"/>
          <c:tx>
            <c:strRef>
              <c:f>Sheet1!$A$51</c:f>
              <c:strCache>
                <c:ptCount val="1"/>
                <c:pt idx="0">
                  <c:v>GN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Sheet1!$B$51:$M$51</c:f>
              <c:numCache>
                <c:formatCode>#,##0.00</c:formatCode>
                <c:ptCount val="12"/>
                <c:pt idx="0">
                  <c:v>0.65122000000000002</c:v>
                </c:pt>
                <c:pt idx="1">
                  <c:v>0.56614500000000001</c:v>
                </c:pt>
                <c:pt idx="2">
                  <c:v>0.63583800000000001</c:v>
                </c:pt>
                <c:pt idx="3">
                  <c:v>0.61068199999999995</c:v>
                </c:pt>
                <c:pt idx="4">
                  <c:v>0.53338700000000006</c:v>
                </c:pt>
                <c:pt idx="5">
                  <c:v>0.56458900000000001</c:v>
                </c:pt>
                <c:pt idx="6">
                  <c:v>0.70862999999999998</c:v>
                </c:pt>
                <c:pt idx="7" formatCode="General">
                  <c:v>0.68164899999999995</c:v>
                </c:pt>
                <c:pt idx="8" formatCode="General">
                  <c:v>0.72949600000000003</c:v>
                </c:pt>
                <c:pt idx="9" formatCode="General">
                  <c:v>0.67899200000000004</c:v>
                </c:pt>
                <c:pt idx="10" formatCode="General">
                  <c:v>0.65246099999999996</c:v>
                </c:pt>
                <c:pt idx="11" formatCode="General">
                  <c:v>0.63671299999999997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336-49B9-A06B-CA38D5F696DE}"/>
            </c:ext>
          </c:extLst>
        </c:ser>
        <c:ser>
          <c:idx val="18"/>
          <c:order val="18"/>
          <c:tx>
            <c:strRef>
              <c:f>Sheet1!$A$52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Sheet1!$B$52:$M$52</c:f>
              <c:numCache>
                <c:formatCode>#,##0.00</c:formatCode>
                <c:ptCount val="12"/>
                <c:pt idx="0">
                  <c:v>0.62802000000000002</c:v>
                </c:pt>
                <c:pt idx="1">
                  <c:v>0.54088800000000004</c:v>
                </c:pt>
                <c:pt idx="2">
                  <c:v>0.635714</c:v>
                </c:pt>
                <c:pt idx="3">
                  <c:v>0.548508</c:v>
                </c:pt>
                <c:pt idx="4">
                  <c:v>0.59578200000000003</c:v>
                </c:pt>
                <c:pt idx="5">
                  <c:v>0.56464700000000001</c:v>
                </c:pt>
                <c:pt idx="6">
                  <c:v>0.66737899999999994</c:v>
                </c:pt>
                <c:pt idx="7" formatCode="General">
                  <c:v>0.712588</c:v>
                </c:pt>
                <c:pt idx="8" formatCode="General">
                  <c:v>0.73515799999999998</c:v>
                </c:pt>
                <c:pt idx="9" formatCode="General">
                  <c:v>0.67955100000000002</c:v>
                </c:pt>
                <c:pt idx="10" formatCode="General">
                  <c:v>0.59660999999999997</c:v>
                </c:pt>
                <c:pt idx="11" formatCode="General">
                  <c:v>0.57184400000000002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336-49B9-A06B-CA38D5F696DE}"/>
            </c:ext>
          </c:extLst>
        </c:ser>
        <c:ser>
          <c:idx val="19"/>
          <c:order val="19"/>
          <c:tx>
            <c:strRef>
              <c:f>Sheet1!$A$53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Sheet1!$B$53:$M$53</c:f>
              <c:numCache>
                <c:formatCode>#,##0.00</c:formatCode>
                <c:ptCount val="12"/>
                <c:pt idx="0">
                  <c:v>0.59545999999999999</c:v>
                </c:pt>
                <c:pt idx="1">
                  <c:v>0.48091800000000001</c:v>
                </c:pt>
                <c:pt idx="2">
                  <c:v>0.60616099999999995</c:v>
                </c:pt>
                <c:pt idx="3">
                  <c:v>0.40491500000000002</c:v>
                </c:pt>
                <c:pt idx="4">
                  <c:v>0.54816799999999999</c:v>
                </c:pt>
                <c:pt idx="5">
                  <c:v>0.53537199999999996</c:v>
                </c:pt>
                <c:pt idx="6">
                  <c:v>0.59308000000000005</c:v>
                </c:pt>
                <c:pt idx="7" formatCode="General">
                  <c:v>0.67866800000000005</c:v>
                </c:pt>
                <c:pt idx="8" formatCode="General">
                  <c:v>0.73592199999999997</c:v>
                </c:pt>
                <c:pt idx="9" formatCode="General">
                  <c:v>0.55491800000000002</c:v>
                </c:pt>
                <c:pt idx="10" formatCode="General">
                  <c:v>0.50549999999999995</c:v>
                </c:pt>
                <c:pt idx="11" formatCode="General">
                  <c:v>0.40882499999999999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336-49B9-A06B-CA38D5F696DE}"/>
            </c:ext>
          </c:extLst>
        </c:ser>
        <c:ser>
          <c:idx val="20"/>
          <c:order val="20"/>
          <c:tx>
            <c:strRef>
              <c:f>Sheet1!$A$54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Sheet1!$B$33:$M$33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Sheet1!$B$54:$M$54</c:f>
              <c:numCache>
                <c:formatCode>#,##0.00</c:formatCode>
                <c:ptCount val="12"/>
                <c:pt idx="0">
                  <c:v>0.44930999999999999</c:v>
                </c:pt>
                <c:pt idx="1">
                  <c:v>0.56072699999999998</c:v>
                </c:pt>
                <c:pt idx="2">
                  <c:v>0.61905699999999997</c:v>
                </c:pt>
                <c:pt idx="3">
                  <c:v>0.484736</c:v>
                </c:pt>
                <c:pt idx="4">
                  <c:v>0.60612200000000005</c:v>
                </c:pt>
                <c:pt idx="5">
                  <c:v>0.44596400000000003</c:v>
                </c:pt>
                <c:pt idx="6">
                  <c:v>0.77068300000000001</c:v>
                </c:pt>
                <c:pt idx="7" formatCode="General">
                  <c:v>0.60786499999999999</c:v>
                </c:pt>
                <c:pt idx="8" formatCode="General">
                  <c:v>0.62121300000000002</c:v>
                </c:pt>
                <c:pt idx="9" formatCode="General">
                  <c:v>0.49480200000000002</c:v>
                </c:pt>
                <c:pt idx="10" formatCode="General">
                  <c:v>0.62732100000000002</c:v>
                </c:pt>
                <c:pt idx="11" formatCode="General">
                  <c:v>0.38572099999999998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336-49B9-A06B-CA38D5F69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332575"/>
        <c:axId val="859264978"/>
      </c:lineChart>
      <c:catAx>
        <c:axId val="171332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9264978"/>
        <c:crosses val="autoZero"/>
        <c:auto val="1"/>
        <c:lblAlgn val="ctr"/>
        <c:lblOffset val="100"/>
        <c:noMultiLvlLbl val="1"/>
      </c:catAx>
      <c:valAx>
        <c:axId val="8592649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33257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CM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Sheet1!$A$99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Sheet1!$B$99:$M$99</c:f>
              <c:numCache>
                <c:formatCode>#,##0.00</c:formatCode>
                <c:ptCount val="12"/>
                <c:pt idx="0">
                  <c:v>0.41828184918509898</c:v>
                </c:pt>
                <c:pt idx="1">
                  <c:v>0.48584460540972801</c:v>
                </c:pt>
                <c:pt idx="2">
                  <c:v>0.57240292777471702</c:v>
                </c:pt>
                <c:pt idx="3">
                  <c:v>0.469776458331782</c:v>
                </c:pt>
                <c:pt idx="4">
                  <c:v>0.48356274521196901</c:v>
                </c:pt>
                <c:pt idx="5">
                  <c:v>0.36706866826526702</c:v>
                </c:pt>
                <c:pt idx="6">
                  <c:v>0.501749341782187</c:v>
                </c:pt>
                <c:pt idx="7">
                  <c:v>0.52333851283722899</c:v>
                </c:pt>
                <c:pt idx="8">
                  <c:v>0.65004628205956705</c:v>
                </c:pt>
                <c:pt idx="9">
                  <c:v>0.64821209797037604</c:v>
                </c:pt>
                <c:pt idx="10">
                  <c:v>0.57539231918643496</c:v>
                </c:pt>
                <c:pt idx="11">
                  <c:v>0.54270662055500196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E6-4B34-90DB-B6E6D2C7C710}"/>
            </c:ext>
          </c:extLst>
        </c:ser>
        <c:ser>
          <c:idx val="1"/>
          <c:order val="1"/>
          <c:tx>
            <c:strRef>
              <c:f>Sheet1!$A$100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Sheet1!$B$100:$M$100</c:f>
              <c:numCache>
                <c:formatCode>#,##0.00</c:formatCode>
                <c:ptCount val="12"/>
                <c:pt idx="0">
                  <c:v>0.651391571734245</c:v>
                </c:pt>
                <c:pt idx="1">
                  <c:v>0.60759292614909899</c:v>
                </c:pt>
                <c:pt idx="2">
                  <c:v>0.66973794330294101</c:v>
                </c:pt>
                <c:pt idx="3">
                  <c:v>0.64974236353731096</c:v>
                </c:pt>
                <c:pt idx="4">
                  <c:v>0.68849014662198404</c:v>
                </c:pt>
                <c:pt idx="5">
                  <c:v>0.66932904633443102</c:v>
                </c:pt>
                <c:pt idx="6">
                  <c:v>0.74661140971352102</c:v>
                </c:pt>
                <c:pt idx="7">
                  <c:v>0.70705397018174099</c:v>
                </c:pt>
                <c:pt idx="8">
                  <c:v>0.72750237595766998</c:v>
                </c:pt>
                <c:pt idx="9">
                  <c:v>0.58335779172106805</c:v>
                </c:pt>
                <c:pt idx="10">
                  <c:v>0.673789479852684</c:v>
                </c:pt>
                <c:pt idx="11">
                  <c:v>0.68341770995318796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E6-4B34-90DB-B6E6D2C7C710}"/>
            </c:ext>
          </c:extLst>
        </c:ser>
        <c:ser>
          <c:idx val="2"/>
          <c:order val="2"/>
          <c:tx>
            <c:strRef>
              <c:f>Sheet1!$A$101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Sheet1!$B$101:$M$101</c:f>
              <c:numCache>
                <c:formatCode>#,##0.00</c:formatCode>
                <c:ptCount val="12"/>
                <c:pt idx="0">
                  <c:v>0.48315570567063998</c:v>
                </c:pt>
                <c:pt idx="1">
                  <c:v>0.43219764632667401</c:v>
                </c:pt>
                <c:pt idx="2">
                  <c:v>0.43636165355089002</c:v>
                </c:pt>
                <c:pt idx="3">
                  <c:v>0.41844294715524</c:v>
                </c:pt>
                <c:pt idx="4">
                  <c:v>0.54709853094264904</c:v>
                </c:pt>
                <c:pt idx="5">
                  <c:v>0.50198704047946496</c:v>
                </c:pt>
                <c:pt idx="6">
                  <c:v>0.49627867984360002</c:v>
                </c:pt>
                <c:pt idx="7">
                  <c:v>0.49504639640838899</c:v>
                </c:pt>
                <c:pt idx="8">
                  <c:v>0.515267229139029</c:v>
                </c:pt>
                <c:pt idx="9">
                  <c:v>0.45441631733537202</c:v>
                </c:pt>
                <c:pt idx="10">
                  <c:v>0.39069120209879998</c:v>
                </c:pt>
                <c:pt idx="11">
                  <c:v>0.42412069686342402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E6-4B34-90DB-B6E6D2C7C710}"/>
            </c:ext>
          </c:extLst>
        </c:ser>
        <c:ser>
          <c:idx val="3"/>
          <c:order val="3"/>
          <c:tx>
            <c:strRef>
              <c:f>Sheet1!$A$102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Sheet1!$B$102:$M$102</c:f>
              <c:numCache>
                <c:formatCode>#,##0.00</c:formatCode>
                <c:ptCount val="12"/>
                <c:pt idx="0">
                  <c:v>0.68764281147957096</c:v>
                </c:pt>
                <c:pt idx="1">
                  <c:v>0.57910755146690196</c:v>
                </c:pt>
                <c:pt idx="2">
                  <c:v>0.59198613786286503</c:v>
                </c:pt>
                <c:pt idx="3">
                  <c:v>0.58704799489264903</c:v>
                </c:pt>
                <c:pt idx="4">
                  <c:v>0.55912758580908295</c:v>
                </c:pt>
                <c:pt idx="5">
                  <c:v>0.642500503859181</c:v>
                </c:pt>
                <c:pt idx="6">
                  <c:v>0.45820863836583497</c:v>
                </c:pt>
                <c:pt idx="7">
                  <c:v>0.66537994365778896</c:v>
                </c:pt>
                <c:pt idx="8">
                  <c:v>0.63115074731520004</c:v>
                </c:pt>
                <c:pt idx="9">
                  <c:v>0.67043466099363902</c:v>
                </c:pt>
                <c:pt idx="10">
                  <c:v>0.67987824408547903</c:v>
                </c:pt>
                <c:pt idx="11">
                  <c:v>0.63114926287388096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E6-4B34-90DB-B6E6D2C7C710}"/>
            </c:ext>
          </c:extLst>
        </c:ser>
        <c:ser>
          <c:idx val="4"/>
          <c:order val="4"/>
          <c:tx>
            <c:strRef>
              <c:f>Sheet1!$A$103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Sheet1!$B$103:$M$103</c:f>
              <c:numCache>
                <c:formatCode>#,##0.00</c:formatCode>
                <c:ptCount val="12"/>
                <c:pt idx="0">
                  <c:v>0.52153300000000002</c:v>
                </c:pt>
                <c:pt idx="1">
                  <c:v>0.51538499999999998</c:v>
                </c:pt>
                <c:pt idx="2">
                  <c:v>0.56874800000000003</c:v>
                </c:pt>
                <c:pt idx="3">
                  <c:v>0.59661200000000003</c:v>
                </c:pt>
                <c:pt idx="4">
                  <c:v>0.51845300000000005</c:v>
                </c:pt>
                <c:pt idx="5">
                  <c:v>0.58825499999999997</c:v>
                </c:pt>
                <c:pt idx="6">
                  <c:v>0.67262100000000002</c:v>
                </c:pt>
                <c:pt idx="7">
                  <c:v>0.67122499999999996</c:v>
                </c:pt>
                <c:pt idx="8">
                  <c:v>0.64600199999999997</c:v>
                </c:pt>
                <c:pt idx="9">
                  <c:v>0.54108500000000004</c:v>
                </c:pt>
                <c:pt idx="10">
                  <c:v>0.50631300000000001</c:v>
                </c:pt>
                <c:pt idx="11">
                  <c:v>0.50710699999999997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E6-4B34-90DB-B6E6D2C7C710}"/>
            </c:ext>
          </c:extLst>
        </c:ser>
        <c:ser>
          <c:idx val="5"/>
          <c:order val="5"/>
          <c:tx>
            <c:strRef>
              <c:f>Sheet1!$A$104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Sheet1!$B$104:$M$104</c:f>
              <c:numCache>
                <c:formatCode>#,##0.00</c:formatCode>
                <c:ptCount val="12"/>
                <c:pt idx="0">
                  <c:v>0.62558594993113303</c:v>
                </c:pt>
                <c:pt idx="1">
                  <c:v>0.64284619516070696</c:v>
                </c:pt>
                <c:pt idx="2">
                  <c:v>0.61774410199466401</c:v>
                </c:pt>
                <c:pt idx="3">
                  <c:v>0.64562004915447402</c:v>
                </c:pt>
                <c:pt idx="4">
                  <c:v>0.70066652470735402</c:v>
                </c:pt>
                <c:pt idx="5">
                  <c:v>0.68226334703784897</c:v>
                </c:pt>
                <c:pt idx="6">
                  <c:v>0.80324145743832298</c:v>
                </c:pt>
                <c:pt idx="7">
                  <c:v>0.78243975987710601</c:v>
                </c:pt>
                <c:pt idx="8">
                  <c:v>0.74837190262289499</c:v>
                </c:pt>
                <c:pt idx="9">
                  <c:v>0.61432959116906305</c:v>
                </c:pt>
                <c:pt idx="10">
                  <c:v>0.61357668911521501</c:v>
                </c:pt>
                <c:pt idx="11">
                  <c:v>0.66254638843202895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E6-4B34-90DB-B6E6D2C7C710}"/>
            </c:ext>
          </c:extLst>
        </c:ser>
        <c:ser>
          <c:idx val="6"/>
          <c:order val="6"/>
          <c:tx>
            <c:strRef>
              <c:f>Sheet1!$A$105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Sheet1!$B$105:$M$105</c:f>
              <c:numCache>
                <c:formatCode>#,##0.00</c:formatCode>
                <c:ptCount val="12"/>
                <c:pt idx="0">
                  <c:v>0.68104799999999999</c:v>
                </c:pt>
                <c:pt idx="1">
                  <c:v>0.57542899999999997</c:v>
                </c:pt>
                <c:pt idx="2">
                  <c:v>0.587727</c:v>
                </c:pt>
                <c:pt idx="3">
                  <c:v>0.49004199999999998</c:v>
                </c:pt>
                <c:pt idx="4">
                  <c:v>0.74438700000000002</c:v>
                </c:pt>
                <c:pt idx="5">
                  <c:v>0.709067</c:v>
                </c:pt>
                <c:pt idx="6">
                  <c:v>0.77166299999999999</c:v>
                </c:pt>
                <c:pt idx="7">
                  <c:v>0.69863900000000001</c:v>
                </c:pt>
                <c:pt idx="8">
                  <c:v>0.75806099999999998</c:v>
                </c:pt>
                <c:pt idx="9">
                  <c:v>0.670651</c:v>
                </c:pt>
                <c:pt idx="10">
                  <c:v>0.63661299999999998</c:v>
                </c:pt>
                <c:pt idx="11">
                  <c:v>0.67747400000000002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E6-4B34-90DB-B6E6D2C7C710}"/>
            </c:ext>
          </c:extLst>
        </c:ser>
        <c:ser>
          <c:idx val="7"/>
          <c:order val="7"/>
          <c:tx>
            <c:strRef>
              <c:f>Sheet1!$A$106</c:f>
              <c:strCache>
                <c:ptCount val="1"/>
                <c:pt idx="0">
                  <c:v>G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Sheet1!$B$106:$M$106</c:f>
              <c:numCache>
                <c:formatCode>#,##0.00</c:formatCode>
                <c:ptCount val="12"/>
                <c:pt idx="0">
                  <c:v>0.66</c:v>
                </c:pt>
                <c:pt idx="1">
                  <c:v>0</c:v>
                </c:pt>
                <c:pt idx="2">
                  <c:v>0.56000000000000005</c:v>
                </c:pt>
                <c:pt idx="3">
                  <c:v>0.5</c:v>
                </c:pt>
                <c:pt idx="4">
                  <c:v>0.7</c:v>
                </c:pt>
                <c:pt idx="5">
                  <c:v>0.7</c:v>
                </c:pt>
                <c:pt idx="6">
                  <c:v>0.77</c:v>
                </c:pt>
                <c:pt idx="7" formatCode="General">
                  <c:v>0.71</c:v>
                </c:pt>
                <c:pt idx="8" formatCode="General">
                  <c:v>0.71</c:v>
                </c:pt>
                <c:pt idx="9" formatCode="General">
                  <c:v>0.68</c:v>
                </c:pt>
                <c:pt idx="10" formatCode="General">
                  <c:v>0.56999999999999995</c:v>
                </c:pt>
                <c:pt idx="11" formatCode="General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E6-4B34-90DB-B6E6D2C7C710}"/>
            </c:ext>
          </c:extLst>
        </c:ser>
        <c:ser>
          <c:idx val="8"/>
          <c:order val="8"/>
          <c:tx>
            <c:strRef>
              <c:f>Sheet1!$A$107</c:f>
              <c:strCache>
                <c:ptCount val="1"/>
                <c:pt idx="0">
                  <c:v>IGNORE_THIS_1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Sheet1!$B$107:$M$107</c:f>
              <c:numCache>
                <c:formatCode>#,##0.00</c:formatCode>
                <c:ptCount val="12"/>
                <c:pt idx="0">
                  <c:v>0.47940500000000003</c:v>
                </c:pt>
                <c:pt idx="1">
                  <c:v>0.52308399999999999</c:v>
                </c:pt>
                <c:pt idx="2">
                  <c:v>0.52335100000000001</c:v>
                </c:pt>
                <c:pt idx="3">
                  <c:v>0.60315399999999997</c:v>
                </c:pt>
                <c:pt idx="4">
                  <c:v>0.692963</c:v>
                </c:pt>
                <c:pt idx="5">
                  <c:v>0.69053799999999999</c:v>
                </c:pt>
                <c:pt idx="6">
                  <c:v>0.77714000000000005</c:v>
                </c:pt>
                <c:pt idx="7" formatCode="General">
                  <c:v>0.72620600000000002</c:v>
                </c:pt>
                <c:pt idx="8" formatCode="General">
                  <c:v>0.69847700000000001</c:v>
                </c:pt>
                <c:pt idx="9" formatCode="General">
                  <c:v>0.62109599999999998</c:v>
                </c:pt>
                <c:pt idx="10" formatCode="General">
                  <c:v>0.58083499999999999</c:v>
                </c:pt>
                <c:pt idx="11" formatCode="General">
                  <c:v>0.55924200000000002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E6-4B34-90DB-B6E6D2C7C710}"/>
            </c:ext>
          </c:extLst>
        </c:ser>
        <c:ser>
          <c:idx val="9"/>
          <c:order val="9"/>
          <c:tx>
            <c:strRef>
              <c:f>Sheet1!$A$108</c:f>
              <c:strCache>
                <c:ptCount val="1"/>
                <c:pt idx="0">
                  <c:v>GS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Sheet1!$B$108:$M$108</c:f>
              <c:numCache>
                <c:formatCode>#,##0.00</c:formatCode>
                <c:ptCount val="12"/>
                <c:pt idx="0">
                  <c:v>0.64551000000000003</c:v>
                </c:pt>
                <c:pt idx="1">
                  <c:v>0.51607499999999995</c:v>
                </c:pt>
                <c:pt idx="2">
                  <c:v>0.57380799999999998</c:v>
                </c:pt>
                <c:pt idx="3">
                  <c:v>0.594719</c:v>
                </c:pt>
                <c:pt idx="4">
                  <c:v>0.73821400000000004</c:v>
                </c:pt>
                <c:pt idx="5">
                  <c:v>0.69686899999999996</c:v>
                </c:pt>
                <c:pt idx="6">
                  <c:v>0.78100400000000003</c:v>
                </c:pt>
                <c:pt idx="7" formatCode="General">
                  <c:v>0.71439799999999998</c:v>
                </c:pt>
                <c:pt idx="8" formatCode="General">
                  <c:v>0.66226200000000002</c:v>
                </c:pt>
                <c:pt idx="9" formatCode="General">
                  <c:v>0.57743599999999995</c:v>
                </c:pt>
                <c:pt idx="10" formatCode="General">
                  <c:v>0.62695500000000004</c:v>
                </c:pt>
                <c:pt idx="11" formatCode="General">
                  <c:v>0.66481699999999999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3E6-4B34-90DB-B6E6D2C7C710}"/>
            </c:ext>
          </c:extLst>
        </c:ser>
        <c:ser>
          <c:idx val="10"/>
          <c:order val="10"/>
          <c:tx>
            <c:strRef>
              <c:f>Sheet1!$A$109</c:f>
              <c:strCache>
                <c:ptCount val="1"/>
                <c:pt idx="0">
                  <c:v>I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Sheet1!$B$109:$M$109</c:f>
              <c:numCache>
                <c:formatCode>#,##0.00</c:formatCode>
                <c:ptCount val="12"/>
                <c:pt idx="0">
                  <c:v>0.14233699999999999</c:v>
                </c:pt>
                <c:pt idx="1">
                  <c:v>0.20413300000000001</c:v>
                </c:pt>
                <c:pt idx="2">
                  <c:v>0.20664299999999999</c:v>
                </c:pt>
                <c:pt idx="3">
                  <c:v>0.19286900000000001</c:v>
                </c:pt>
                <c:pt idx="4">
                  <c:v>0.118308</c:v>
                </c:pt>
                <c:pt idx="5">
                  <c:v>0.139822</c:v>
                </c:pt>
                <c:pt idx="6">
                  <c:v>0.19612199999999999</c:v>
                </c:pt>
                <c:pt idx="7" formatCode="General">
                  <c:v>0.14835599999999999</c:v>
                </c:pt>
                <c:pt idx="8" formatCode="General">
                  <c:v>0.18310000000000001</c:v>
                </c:pt>
                <c:pt idx="9" formatCode="General">
                  <c:v>0.24831600000000001</c:v>
                </c:pt>
                <c:pt idx="10" formatCode="General">
                  <c:v>0.189112</c:v>
                </c:pt>
                <c:pt idx="11" formatCode="General">
                  <c:v>0.19988900000000001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E6-4B34-90DB-B6E6D2C7C710}"/>
            </c:ext>
          </c:extLst>
        </c:ser>
        <c:ser>
          <c:idx val="11"/>
          <c:order val="11"/>
          <c:tx>
            <c:strRef>
              <c:f>Sheet1!$A$110</c:f>
              <c:strCache>
                <c:ptCount val="1"/>
                <c:pt idx="0">
                  <c:v>IG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Sheet1!$B$110:$M$110</c:f>
              <c:numCache>
                <c:formatCode>#,##0.00</c:formatCode>
                <c:ptCount val="12"/>
                <c:pt idx="0">
                  <c:v>0.16318299999999999</c:v>
                </c:pt>
                <c:pt idx="1">
                  <c:v>0.20408000000000001</c:v>
                </c:pt>
                <c:pt idx="2">
                  <c:v>0.17768500000000001</c:v>
                </c:pt>
                <c:pt idx="3">
                  <c:v>0.20277000000000001</c:v>
                </c:pt>
                <c:pt idx="4">
                  <c:v>0.13175100000000001</c:v>
                </c:pt>
                <c:pt idx="5">
                  <c:v>0.13842699999999999</c:v>
                </c:pt>
                <c:pt idx="6">
                  <c:v>0.21826899999999999</c:v>
                </c:pt>
                <c:pt idx="7" formatCode="General">
                  <c:v>0.23072999999999999</c:v>
                </c:pt>
                <c:pt idx="8" formatCode="General">
                  <c:v>0.29338799999999998</c:v>
                </c:pt>
                <c:pt idx="9" formatCode="General">
                  <c:v>0.29856700000000003</c:v>
                </c:pt>
                <c:pt idx="10" formatCode="General">
                  <c:v>0.19738</c:v>
                </c:pt>
                <c:pt idx="11" formatCode="General">
                  <c:v>0.28692699999999999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3E6-4B34-90DB-B6E6D2C7C710}"/>
            </c:ext>
          </c:extLst>
        </c:ser>
        <c:ser>
          <c:idx val="12"/>
          <c:order val="12"/>
          <c:tx>
            <c:strRef>
              <c:f>Sheet1!$A$111</c:f>
              <c:strCache>
                <c:ptCount val="1"/>
                <c:pt idx="0">
                  <c:v>IS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Sheet1!$B$111:$M$111</c:f>
              <c:numCache>
                <c:formatCode>#,##0.00</c:formatCode>
                <c:ptCount val="12"/>
                <c:pt idx="0">
                  <c:v>0.16476499999999999</c:v>
                </c:pt>
                <c:pt idx="1">
                  <c:v>0.19852</c:v>
                </c:pt>
                <c:pt idx="2">
                  <c:v>0.205593</c:v>
                </c:pt>
                <c:pt idx="3">
                  <c:v>0.19187399999999999</c:v>
                </c:pt>
                <c:pt idx="4">
                  <c:v>0.121768</c:v>
                </c:pt>
                <c:pt idx="5">
                  <c:v>0.14510899999999999</c:v>
                </c:pt>
                <c:pt idx="6">
                  <c:v>0.18095800000000001</c:v>
                </c:pt>
                <c:pt idx="7" formatCode="General">
                  <c:v>0.130054</c:v>
                </c:pt>
                <c:pt idx="8" formatCode="General">
                  <c:v>0.235259</c:v>
                </c:pt>
                <c:pt idx="9" formatCode="General">
                  <c:v>0.22242100000000001</c:v>
                </c:pt>
                <c:pt idx="10" formatCode="General">
                  <c:v>0.22375900000000001</c:v>
                </c:pt>
                <c:pt idx="11" formatCode="General">
                  <c:v>0.190053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3E6-4B34-90DB-B6E6D2C7C710}"/>
            </c:ext>
          </c:extLst>
        </c:ser>
        <c:ser>
          <c:idx val="13"/>
          <c:order val="13"/>
          <c:tx>
            <c:strRef>
              <c:f>Sheet1!$A$112</c:f>
              <c:strCache>
                <c:ptCount val="1"/>
                <c:pt idx="0">
                  <c:v>IGS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Sheet1!$B$112:$M$112</c:f>
              <c:numCache>
                <c:formatCode>#,##0.00</c:formatCode>
                <c:ptCount val="12"/>
                <c:pt idx="0">
                  <c:v>0.22964499999999999</c:v>
                </c:pt>
                <c:pt idx="1">
                  <c:v>0.20627999999999999</c:v>
                </c:pt>
                <c:pt idx="2">
                  <c:v>0.229631</c:v>
                </c:pt>
                <c:pt idx="3">
                  <c:v>0.200602</c:v>
                </c:pt>
                <c:pt idx="4">
                  <c:v>0.12485400000000001</c:v>
                </c:pt>
                <c:pt idx="5">
                  <c:v>0.153058</c:v>
                </c:pt>
                <c:pt idx="6">
                  <c:v>0.24293699999999999</c:v>
                </c:pt>
                <c:pt idx="7" formatCode="General">
                  <c:v>0.280335</c:v>
                </c:pt>
                <c:pt idx="8" formatCode="General">
                  <c:v>0.30638199999999999</c:v>
                </c:pt>
                <c:pt idx="9" formatCode="General">
                  <c:v>0.27474999999999999</c:v>
                </c:pt>
                <c:pt idx="10" formatCode="General">
                  <c:v>0.237232</c:v>
                </c:pt>
                <c:pt idx="11" formatCode="General">
                  <c:v>0.266982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3E6-4B34-90DB-B6E6D2C7C710}"/>
            </c:ext>
          </c:extLst>
        </c:ser>
        <c:ser>
          <c:idx val="14"/>
          <c:order val="14"/>
          <c:tx>
            <c:strRef>
              <c:f>Sheet1!$A$113</c:f>
              <c:strCache>
                <c:ptCount val="1"/>
                <c:pt idx="0">
                  <c:v>GSD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Sheet1!$B$113:$M$113</c:f>
              <c:numCache>
                <c:formatCode>#,##0.00</c:formatCode>
                <c:ptCount val="12"/>
                <c:pt idx="0">
                  <c:v>0.59873900000000002</c:v>
                </c:pt>
                <c:pt idx="1">
                  <c:v>0.53097099999999997</c:v>
                </c:pt>
                <c:pt idx="2">
                  <c:v>0.56993700000000003</c:v>
                </c:pt>
                <c:pt idx="3">
                  <c:v>0.62772399999999995</c:v>
                </c:pt>
                <c:pt idx="4">
                  <c:v>0.73912500000000003</c:v>
                </c:pt>
                <c:pt idx="5">
                  <c:v>0.70026600000000006</c:v>
                </c:pt>
                <c:pt idx="6">
                  <c:v>0.76889300000000005</c:v>
                </c:pt>
                <c:pt idx="7" formatCode="General">
                  <c:v>0.70657700000000001</c:v>
                </c:pt>
                <c:pt idx="8" formatCode="General">
                  <c:v>0.71762199999999998</c:v>
                </c:pt>
                <c:pt idx="9" formatCode="General">
                  <c:v>0.56941299999999995</c:v>
                </c:pt>
                <c:pt idx="10" formatCode="General">
                  <c:v>0.57899</c:v>
                </c:pt>
                <c:pt idx="11" formatCode="General">
                  <c:v>0.56372900000000004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3E6-4B34-90DB-B6E6D2C7C710}"/>
            </c:ext>
          </c:extLst>
        </c:ser>
        <c:ser>
          <c:idx val="15"/>
          <c:order val="15"/>
          <c:tx>
            <c:strRef>
              <c:f>Sheet1!$A$114</c:f>
              <c:strCache>
                <c:ptCount val="1"/>
                <c:pt idx="0">
                  <c:v>IGNORE_THIS_2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Sheet1!$B$114:$M$114</c:f>
              <c:numCache>
                <c:formatCode>#,##0.00</c:formatCode>
                <c:ptCount val="12"/>
                <c:pt idx="0">
                  <c:v>0.27993800000000002</c:v>
                </c:pt>
                <c:pt idx="1">
                  <c:v>0.33252300000000001</c:v>
                </c:pt>
                <c:pt idx="2">
                  <c:v>0.14096400000000001</c:v>
                </c:pt>
                <c:pt idx="3">
                  <c:v>0.19251599999999999</c:v>
                </c:pt>
                <c:pt idx="4">
                  <c:v>4.0769E-2</c:v>
                </c:pt>
                <c:pt idx="5">
                  <c:v>0.48144799999999999</c:v>
                </c:pt>
                <c:pt idx="6">
                  <c:v>0.74219900000000005</c:v>
                </c:pt>
                <c:pt idx="7" formatCode="General">
                  <c:v>0.69391800000000003</c:v>
                </c:pt>
                <c:pt idx="8" formatCode="General">
                  <c:v>0.29338799999999998</c:v>
                </c:pt>
                <c:pt idx="9" formatCode="General">
                  <c:v>0.41023300000000001</c:v>
                </c:pt>
                <c:pt idx="10" formatCode="General">
                  <c:v>0.38632100000000003</c:v>
                </c:pt>
                <c:pt idx="11" formatCode="General">
                  <c:v>0.37982300000000002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3E6-4B34-90DB-B6E6D2C7C710}"/>
            </c:ext>
          </c:extLst>
        </c:ser>
        <c:ser>
          <c:idx val="16"/>
          <c:order val="16"/>
          <c:tx>
            <c:strRef>
              <c:f>Sheet1!$A$115</c:f>
              <c:strCache>
                <c:ptCount val="1"/>
                <c:pt idx="0">
                  <c:v>GD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Sheet1!$B$115:$M$115</c:f>
              <c:numCache>
                <c:formatCode>#,##0.00</c:formatCode>
                <c:ptCount val="12"/>
                <c:pt idx="0">
                  <c:v>0.62433099999999997</c:v>
                </c:pt>
                <c:pt idx="1">
                  <c:v>0.63619300000000001</c:v>
                </c:pt>
                <c:pt idx="2">
                  <c:v>0.60264499999999999</c:v>
                </c:pt>
                <c:pt idx="3">
                  <c:v>0.58970999999999996</c:v>
                </c:pt>
                <c:pt idx="4">
                  <c:v>0.59292</c:v>
                </c:pt>
                <c:pt idx="5">
                  <c:v>0.70306000000000002</c:v>
                </c:pt>
                <c:pt idx="6">
                  <c:v>0.753803</c:v>
                </c:pt>
                <c:pt idx="7" formatCode="General">
                  <c:v>0.71516900000000005</c:v>
                </c:pt>
                <c:pt idx="8" formatCode="General">
                  <c:v>0.54480899999999999</c:v>
                </c:pt>
                <c:pt idx="9" formatCode="General">
                  <c:v>0.58102200000000004</c:v>
                </c:pt>
                <c:pt idx="10" formatCode="General">
                  <c:v>0.56839399999999995</c:v>
                </c:pt>
                <c:pt idx="11" formatCode="General">
                  <c:v>0.66236899999999999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3E6-4B34-90DB-B6E6D2C7C710}"/>
            </c:ext>
          </c:extLst>
        </c:ser>
        <c:ser>
          <c:idx val="17"/>
          <c:order val="17"/>
          <c:tx>
            <c:strRef>
              <c:f>Sheet1!$A$116</c:f>
              <c:strCache>
                <c:ptCount val="1"/>
                <c:pt idx="0">
                  <c:v>GN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Sheet1!$B$116:$M$116</c:f>
              <c:numCache>
                <c:formatCode>#,##0.00</c:formatCode>
                <c:ptCount val="12"/>
                <c:pt idx="0">
                  <c:v>0.60337200000000002</c:v>
                </c:pt>
                <c:pt idx="1">
                  <c:v>0.52393500000000004</c:v>
                </c:pt>
                <c:pt idx="2">
                  <c:v>0.62398699999999996</c:v>
                </c:pt>
                <c:pt idx="3">
                  <c:v>0.61045099999999997</c:v>
                </c:pt>
                <c:pt idx="4">
                  <c:v>0.59493499999999999</c:v>
                </c:pt>
                <c:pt idx="5">
                  <c:v>0.69850599999999996</c:v>
                </c:pt>
                <c:pt idx="6">
                  <c:v>0.78312199999999998</c:v>
                </c:pt>
                <c:pt idx="7" formatCode="General">
                  <c:v>0.71377299999999999</c:v>
                </c:pt>
                <c:pt idx="8" formatCode="General">
                  <c:v>0.71330700000000002</c:v>
                </c:pt>
                <c:pt idx="9" formatCode="General">
                  <c:v>0.66566099999999995</c:v>
                </c:pt>
                <c:pt idx="10" formatCode="General">
                  <c:v>0.60210699999999995</c:v>
                </c:pt>
                <c:pt idx="11" formatCode="General">
                  <c:v>0.61247700000000005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3E6-4B34-90DB-B6E6D2C7C710}"/>
            </c:ext>
          </c:extLst>
        </c:ser>
        <c:ser>
          <c:idx val="18"/>
          <c:order val="18"/>
          <c:tx>
            <c:strRef>
              <c:f>Sheet1!$A$117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Sheet1!$B$117:$M$117</c:f>
              <c:numCache>
                <c:formatCode>#,##0.00</c:formatCode>
                <c:ptCount val="12"/>
                <c:pt idx="0">
                  <c:v>0.596468</c:v>
                </c:pt>
                <c:pt idx="1">
                  <c:v>0.50147600000000003</c:v>
                </c:pt>
                <c:pt idx="2">
                  <c:v>0.63784300000000005</c:v>
                </c:pt>
                <c:pt idx="3">
                  <c:v>0.50002500000000005</c:v>
                </c:pt>
                <c:pt idx="4">
                  <c:v>0.69631399999999999</c:v>
                </c:pt>
                <c:pt idx="5">
                  <c:v>0.69669300000000001</c:v>
                </c:pt>
                <c:pt idx="6">
                  <c:v>0.77726499999999998</c:v>
                </c:pt>
                <c:pt idx="7" formatCode="General">
                  <c:v>0.72331000000000001</c:v>
                </c:pt>
                <c:pt idx="8" formatCode="General">
                  <c:v>0.72030300000000003</c:v>
                </c:pt>
                <c:pt idx="9" formatCode="General">
                  <c:v>0.66138399999999997</c:v>
                </c:pt>
                <c:pt idx="10" formatCode="General">
                  <c:v>0.545574</c:v>
                </c:pt>
                <c:pt idx="11" formatCode="General">
                  <c:v>0.55160399999999998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3E6-4B34-90DB-B6E6D2C7C710}"/>
            </c:ext>
          </c:extLst>
        </c:ser>
        <c:ser>
          <c:idx val="19"/>
          <c:order val="19"/>
          <c:tx>
            <c:strRef>
              <c:f>Sheet1!$A$118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Sheet1!$B$118:$M$118</c:f>
              <c:numCache>
                <c:formatCode>#,##0.00</c:formatCode>
                <c:ptCount val="12"/>
                <c:pt idx="0">
                  <c:v>0.53561899999999996</c:v>
                </c:pt>
                <c:pt idx="1">
                  <c:v>0.44971499999999998</c:v>
                </c:pt>
                <c:pt idx="2">
                  <c:v>0.58299699999999999</c:v>
                </c:pt>
                <c:pt idx="3">
                  <c:v>0.393675</c:v>
                </c:pt>
                <c:pt idx="4">
                  <c:v>0.60925300000000004</c:v>
                </c:pt>
                <c:pt idx="5">
                  <c:v>0.64053700000000002</c:v>
                </c:pt>
                <c:pt idx="6">
                  <c:v>0.578233</c:v>
                </c:pt>
                <c:pt idx="7" formatCode="General">
                  <c:v>0.70257000000000003</c:v>
                </c:pt>
                <c:pt idx="8" formatCode="General">
                  <c:v>0.71836800000000001</c:v>
                </c:pt>
                <c:pt idx="9" formatCode="General">
                  <c:v>0.49531900000000001</c:v>
                </c:pt>
                <c:pt idx="10" formatCode="General">
                  <c:v>0.45178499999999999</c:v>
                </c:pt>
                <c:pt idx="11" formatCode="General">
                  <c:v>0.35131400000000002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3E6-4B34-90DB-B6E6D2C7C710}"/>
            </c:ext>
          </c:extLst>
        </c:ser>
        <c:ser>
          <c:idx val="20"/>
          <c:order val="20"/>
          <c:tx>
            <c:strRef>
              <c:f>Sheet1!$A$119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Sheet1!$B$98:$M$98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Sheet1!$B$119:$M$119</c:f>
              <c:numCache>
                <c:formatCode>#,##0.00</c:formatCode>
                <c:ptCount val="12"/>
                <c:pt idx="0">
                  <c:v>0.38905299999999998</c:v>
                </c:pt>
                <c:pt idx="1">
                  <c:v>0.48204799999999998</c:v>
                </c:pt>
                <c:pt idx="2">
                  <c:v>0.59677199999999997</c:v>
                </c:pt>
                <c:pt idx="3">
                  <c:v>0.36381200000000002</c:v>
                </c:pt>
                <c:pt idx="4">
                  <c:v>0.69187200000000004</c:v>
                </c:pt>
                <c:pt idx="5">
                  <c:v>0.48668699999999998</c:v>
                </c:pt>
                <c:pt idx="6">
                  <c:v>0.75475599999999998</c:v>
                </c:pt>
                <c:pt idx="7" formatCode="General">
                  <c:v>0.629687</c:v>
                </c:pt>
                <c:pt idx="8" formatCode="General">
                  <c:v>0.56699900000000003</c:v>
                </c:pt>
                <c:pt idx="9" formatCode="General">
                  <c:v>0.43659500000000001</c:v>
                </c:pt>
                <c:pt idx="10" formatCode="General">
                  <c:v>0.56493899999999997</c:v>
                </c:pt>
                <c:pt idx="11" formatCode="General">
                  <c:v>0.35477799999999998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3E6-4B34-90DB-B6E6D2C7C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473782"/>
        <c:axId val="493651432"/>
      </c:lineChart>
      <c:catAx>
        <c:axId val="679473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3651432"/>
        <c:crosses val="autoZero"/>
        <c:auto val="1"/>
        <c:lblAlgn val="ctr"/>
        <c:lblOffset val="100"/>
        <c:noMultiLvlLbl val="1"/>
      </c:catAx>
      <c:valAx>
        <c:axId val="493651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94737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MoranI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Sheet1!$A$290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Sheet1!$B$290:$M$290</c:f>
              <c:numCache>
                <c:formatCode>#,##0.00</c:formatCode>
                <c:ptCount val="12"/>
                <c:pt idx="0">
                  <c:v>0.21903453369850301</c:v>
                </c:pt>
                <c:pt idx="1">
                  <c:v>0.254663361721783</c:v>
                </c:pt>
                <c:pt idx="2">
                  <c:v>0.32580733944165702</c:v>
                </c:pt>
                <c:pt idx="3">
                  <c:v>0.22054183043766901</c:v>
                </c:pt>
                <c:pt idx="4">
                  <c:v>0.29188082441839203</c:v>
                </c:pt>
                <c:pt idx="5">
                  <c:v>0.24784949737131801</c:v>
                </c:pt>
                <c:pt idx="6">
                  <c:v>0.34967530343297598</c:v>
                </c:pt>
                <c:pt idx="7">
                  <c:v>0.27758807070290498</c:v>
                </c:pt>
                <c:pt idx="8">
                  <c:v>0.394376526581102</c:v>
                </c:pt>
                <c:pt idx="9">
                  <c:v>0.41086704416643099</c:v>
                </c:pt>
                <c:pt idx="10">
                  <c:v>0.40439688841791599</c:v>
                </c:pt>
                <c:pt idx="11">
                  <c:v>0.478403313806674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F0-4418-A1C2-8DB17B8AE0B5}"/>
            </c:ext>
          </c:extLst>
        </c:ser>
        <c:ser>
          <c:idx val="1"/>
          <c:order val="1"/>
          <c:tx>
            <c:strRef>
              <c:f>Sheet1!$A$291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Sheet1!$B$291:$M$291</c:f>
              <c:numCache>
                <c:formatCode>#,##0.00</c:formatCode>
                <c:ptCount val="12"/>
                <c:pt idx="0">
                  <c:v>0.43097558855134399</c:v>
                </c:pt>
                <c:pt idx="1">
                  <c:v>0.48518080095659299</c:v>
                </c:pt>
                <c:pt idx="2">
                  <c:v>0.39687532097676997</c:v>
                </c:pt>
                <c:pt idx="3">
                  <c:v>0.38697889150978798</c:v>
                </c:pt>
                <c:pt idx="4">
                  <c:v>0.35322494189699</c:v>
                </c:pt>
                <c:pt idx="5">
                  <c:v>0.30024781606637502</c:v>
                </c:pt>
                <c:pt idx="6">
                  <c:v>0.42822107332347298</c:v>
                </c:pt>
                <c:pt idx="7">
                  <c:v>0.39110326174883397</c:v>
                </c:pt>
                <c:pt idx="8">
                  <c:v>0.444498205679564</c:v>
                </c:pt>
                <c:pt idx="9">
                  <c:v>0.60725682052604602</c:v>
                </c:pt>
                <c:pt idx="10">
                  <c:v>0.48496987539263298</c:v>
                </c:pt>
                <c:pt idx="11">
                  <c:v>0.545184283906061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F0-4418-A1C2-8DB17B8AE0B5}"/>
            </c:ext>
          </c:extLst>
        </c:ser>
        <c:ser>
          <c:idx val="2"/>
          <c:order val="2"/>
          <c:tx>
            <c:strRef>
              <c:f>Sheet1!$A$292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Sheet1!$B$292:$M$292</c:f>
              <c:numCache>
                <c:formatCode>#,##0.00</c:formatCode>
                <c:ptCount val="12"/>
                <c:pt idx="0">
                  <c:v>0.35624909408549998</c:v>
                </c:pt>
                <c:pt idx="1">
                  <c:v>0.37900193259159998</c:v>
                </c:pt>
                <c:pt idx="2">
                  <c:v>0.36006020886910001</c:v>
                </c:pt>
                <c:pt idx="3">
                  <c:v>0.29701574088470001</c:v>
                </c:pt>
                <c:pt idx="4">
                  <c:v>0.26195259355529998</c:v>
                </c:pt>
                <c:pt idx="5">
                  <c:v>0.26679994083410002</c:v>
                </c:pt>
                <c:pt idx="6">
                  <c:v>0.35427147961939998</c:v>
                </c:pt>
                <c:pt idx="7">
                  <c:v>0.3073505756919</c:v>
                </c:pt>
                <c:pt idx="8">
                  <c:v>0.4680983731458</c:v>
                </c:pt>
                <c:pt idx="9">
                  <c:v>0.49557060150589999</c:v>
                </c:pt>
                <c:pt idx="10">
                  <c:v>0.45562503897849999</c:v>
                </c:pt>
                <c:pt idx="11">
                  <c:v>0.36065969164240003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F0-4418-A1C2-8DB17B8AE0B5}"/>
            </c:ext>
          </c:extLst>
        </c:ser>
        <c:ser>
          <c:idx val="3"/>
          <c:order val="3"/>
          <c:tx>
            <c:strRef>
              <c:f>Sheet1!$A$293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Sheet1!$B$293:$M$293</c:f>
              <c:numCache>
                <c:formatCode>#,##0.00</c:formatCode>
                <c:ptCount val="12"/>
                <c:pt idx="0">
                  <c:v>0.27685950687491501</c:v>
                </c:pt>
                <c:pt idx="1">
                  <c:v>0.31251698783685899</c:v>
                </c:pt>
                <c:pt idx="2">
                  <c:v>0.30631119747340702</c:v>
                </c:pt>
                <c:pt idx="3">
                  <c:v>0.25826943800700702</c:v>
                </c:pt>
                <c:pt idx="4">
                  <c:v>0.28914952044161801</c:v>
                </c:pt>
                <c:pt idx="5">
                  <c:v>0.23575612114340599</c:v>
                </c:pt>
                <c:pt idx="6">
                  <c:v>0.349573807213437</c:v>
                </c:pt>
                <c:pt idx="7">
                  <c:v>0.254486110222718</c:v>
                </c:pt>
                <c:pt idx="8">
                  <c:v>0.378938398782172</c:v>
                </c:pt>
                <c:pt idx="9">
                  <c:v>0.44267499804420901</c:v>
                </c:pt>
                <c:pt idx="10">
                  <c:v>0.35412660287757303</c:v>
                </c:pt>
                <c:pt idx="11">
                  <c:v>0.36074424204241801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F0-4418-A1C2-8DB17B8AE0B5}"/>
            </c:ext>
          </c:extLst>
        </c:ser>
        <c:ser>
          <c:idx val="4"/>
          <c:order val="4"/>
          <c:tx>
            <c:strRef>
              <c:f>Sheet1!$A$294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Sheet1!$B$294:$M$294</c:f>
              <c:numCache>
                <c:formatCode>#,##0.00</c:formatCode>
                <c:ptCount val="12"/>
                <c:pt idx="0">
                  <c:v>0.324152</c:v>
                </c:pt>
                <c:pt idx="1">
                  <c:v>0.33630199999999999</c:v>
                </c:pt>
                <c:pt idx="2">
                  <c:v>0.26786700000000002</c:v>
                </c:pt>
                <c:pt idx="3">
                  <c:v>0.28575099999999998</c:v>
                </c:pt>
                <c:pt idx="4">
                  <c:v>0.19120400000000001</c:v>
                </c:pt>
                <c:pt idx="5">
                  <c:v>0.234263</c:v>
                </c:pt>
                <c:pt idx="6">
                  <c:v>0.28457700000000002</c:v>
                </c:pt>
                <c:pt idx="7">
                  <c:v>0.27301500000000001</c:v>
                </c:pt>
                <c:pt idx="8">
                  <c:v>0.39437699999999998</c:v>
                </c:pt>
                <c:pt idx="9">
                  <c:v>0.43051600000000001</c:v>
                </c:pt>
                <c:pt idx="10">
                  <c:v>0.40439700000000001</c:v>
                </c:pt>
                <c:pt idx="11">
                  <c:v>0.42693700000000001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F0-4418-A1C2-8DB17B8AE0B5}"/>
            </c:ext>
          </c:extLst>
        </c:ser>
        <c:ser>
          <c:idx val="5"/>
          <c:order val="5"/>
          <c:tx>
            <c:strRef>
              <c:f>Sheet1!$A$295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Sheet1!$B$295:$M$295</c:f>
              <c:numCache>
                <c:formatCode>#,##0.00</c:formatCode>
                <c:ptCount val="12"/>
                <c:pt idx="0">
                  <c:v>0.20565687203494101</c:v>
                </c:pt>
                <c:pt idx="1">
                  <c:v>0.18591451525982999</c:v>
                </c:pt>
                <c:pt idx="2">
                  <c:v>0.167687070897581</c:v>
                </c:pt>
                <c:pt idx="3">
                  <c:v>0.15952896246203699</c:v>
                </c:pt>
                <c:pt idx="4">
                  <c:v>0.16208784146357599</c:v>
                </c:pt>
                <c:pt idx="5">
                  <c:v>0.17173142846932299</c:v>
                </c:pt>
                <c:pt idx="6">
                  <c:v>0.19665398477014501</c:v>
                </c:pt>
                <c:pt idx="7">
                  <c:v>0.17057308801186899</c:v>
                </c:pt>
                <c:pt idx="8">
                  <c:v>0.26008897277683701</c:v>
                </c:pt>
                <c:pt idx="9">
                  <c:v>0.34901514365820202</c:v>
                </c:pt>
                <c:pt idx="10">
                  <c:v>0.31217352967326201</c:v>
                </c:pt>
                <c:pt idx="11">
                  <c:v>0.26165701379025202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F0-4418-A1C2-8DB17B8AE0B5}"/>
            </c:ext>
          </c:extLst>
        </c:ser>
        <c:ser>
          <c:idx val="6"/>
          <c:order val="6"/>
          <c:tx>
            <c:strRef>
              <c:f>Sheet1!$A$296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Sheet1!$B$296:$M$296</c:f>
              <c:numCache>
                <c:formatCode>#,##0.00</c:formatCode>
                <c:ptCount val="12"/>
                <c:pt idx="0">
                  <c:v>0.20169899999999999</c:v>
                </c:pt>
                <c:pt idx="1">
                  <c:v>0.185915</c:v>
                </c:pt>
                <c:pt idx="2">
                  <c:v>0.17110400000000001</c:v>
                </c:pt>
                <c:pt idx="3">
                  <c:v>0.18859400000000001</c:v>
                </c:pt>
                <c:pt idx="4">
                  <c:v>0.16208800000000001</c:v>
                </c:pt>
                <c:pt idx="5">
                  <c:v>0.17919599999999999</c:v>
                </c:pt>
                <c:pt idx="6">
                  <c:v>0.18839800000000001</c:v>
                </c:pt>
                <c:pt idx="7">
                  <c:v>0.28745999999999999</c:v>
                </c:pt>
                <c:pt idx="8">
                  <c:v>0.18488299999999999</c:v>
                </c:pt>
                <c:pt idx="9">
                  <c:v>0.33312199999999997</c:v>
                </c:pt>
                <c:pt idx="10">
                  <c:v>0.34332299999999999</c:v>
                </c:pt>
                <c:pt idx="11">
                  <c:v>0.30554599999999998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F0-4418-A1C2-8DB17B8AE0B5}"/>
            </c:ext>
          </c:extLst>
        </c:ser>
        <c:ser>
          <c:idx val="7"/>
          <c:order val="7"/>
          <c:tx>
            <c:strRef>
              <c:f>Sheet1!$A$297</c:f>
              <c:strCache>
                <c:ptCount val="1"/>
                <c:pt idx="0">
                  <c:v>G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Sheet1!$B$297:$M$297</c:f>
              <c:numCache>
                <c:formatCode>#,##0.00</c:formatCode>
                <c:ptCount val="12"/>
                <c:pt idx="0" formatCode="General">
                  <c:v>0.17</c:v>
                </c:pt>
                <c:pt idx="1">
                  <c:v>0</c:v>
                </c:pt>
                <c:pt idx="2">
                  <c:v>0.2</c:v>
                </c:pt>
                <c:pt idx="3">
                  <c:v>0.2</c:v>
                </c:pt>
                <c:pt idx="4">
                  <c:v>0.18</c:v>
                </c:pt>
                <c:pt idx="5">
                  <c:v>0.18</c:v>
                </c:pt>
                <c:pt idx="6">
                  <c:v>0.21</c:v>
                </c:pt>
                <c:pt idx="7">
                  <c:v>0.2</c:v>
                </c:pt>
                <c:pt idx="8" formatCode="General">
                  <c:v>0.33</c:v>
                </c:pt>
                <c:pt idx="9" formatCode="General">
                  <c:v>0.28000000000000003</c:v>
                </c:pt>
                <c:pt idx="10" formatCode="General">
                  <c:v>0.34</c:v>
                </c:pt>
                <c:pt idx="11" formatCode="General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F0-4418-A1C2-8DB17B8AE0B5}"/>
            </c:ext>
          </c:extLst>
        </c:ser>
        <c:ser>
          <c:idx val="8"/>
          <c:order val="8"/>
          <c:tx>
            <c:strRef>
              <c:f>Sheet1!$A$298</c:f>
              <c:strCache>
                <c:ptCount val="1"/>
                <c:pt idx="0">
                  <c:v>IGNORE_THIS_1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Sheet1!$B$298:$M$298</c:f>
              <c:numCache>
                <c:formatCode>#,##0.00</c:formatCode>
                <c:ptCount val="12"/>
                <c:pt idx="0" formatCode="General">
                  <c:v>0.265766</c:v>
                </c:pt>
                <c:pt idx="1">
                  <c:v>0.17786199999999999</c:v>
                </c:pt>
                <c:pt idx="2">
                  <c:v>0.20408699999999999</c:v>
                </c:pt>
                <c:pt idx="3">
                  <c:v>0.18450800000000001</c:v>
                </c:pt>
                <c:pt idx="4">
                  <c:v>0.23782700000000001</c:v>
                </c:pt>
                <c:pt idx="5">
                  <c:v>0.182585</c:v>
                </c:pt>
                <c:pt idx="6">
                  <c:v>0.25167899999999999</c:v>
                </c:pt>
                <c:pt idx="7">
                  <c:v>0.189528</c:v>
                </c:pt>
                <c:pt idx="8" formatCode="General">
                  <c:v>0.28091100000000002</c:v>
                </c:pt>
                <c:pt idx="9" formatCode="General">
                  <c:v>0.33312199999999997</c:v>
                </c:pt>
                <c:pt idx="10" formatCode="General">
                  <c:v>0.34816999999999998</c:v>
                </c:pt>
                <c:pt idx="11" formatCode="General">
                  <c:v>0.27657199999999998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F0-4418-A1C2-8DB17B8AE0B5}"/>
            </c:ext>
          </c:extLst>
        </c:ser>
        <c:ser>
          <c:idx val="9"/>
          <c:order val="9"/>
          <c:tx>
            <c:strRef>
              <c:f>Sheet1!$A$299</c:f>
              <c:strCache>
                <c:ptCount val="1"/>
                <c:pt idx="0">
                  <c:v>GS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Sheet1!$B$299:$M$299</c:f>
              <c:numCache>
                <c:formatCode>#,##0.00</c:formatCode>
                <c:ptCount val="12"/>
                <c:pt idx="0" formatCode="General">
                  <c:v>0.20565700000000001</c:v>
                </c:pt>
                <c:pt idx="1">
                  <c:v>0.17786199999999999</c:v>
                </c:pt>
                <c:pt idx="2">
                  <c:v>0.167687</c:v>
                </c:pt>
                <c:pt idx="3">
                  <c:v>0.159529</c:v>
                </c:pt>
                <c:pt idx="4">
                  <c:v>0.15351100000000001</c:v>
                </c:pt>
                <c:pt idx="5">
                  <c:v>0.182585</c:v>
                </c:pt>
                <c:pt idx="6">
                  <c:v>0.22029199999999999</c:v>
                </c:pt>
                <c:pt idx="7">
                  <c:v>0.196774</c:v>
                </c:pt>
                <c:pt idx="8" formatCode="General">
                  <c:v>0.28745999999999999</c:v>
                </c:pt>
                <c:pt idx="9" formatCode="General">
                  <c:v>0.24329899999999999</c:v>
                </c:pt>
                <c:pt idx="10" formatCode="General">
                  <c:v>0.26961200000000002</c:v>
                </c:pt>
                <c:pt idx="11" formatCode="General">
                  <c:v>0.26200600000000002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EF0-4418-A1C2-8DB17B8AE0B5}"/>
            </c:ext>
          </c:extLst>
        </c:ser>
        <c:ser>
          <c:idx val="10"/>
          <c:order val="10"/>
          <c:tx>
            <c:strRef>
              <c:f>Sheet1!$A$300</c:f>
              <c:strCache>
                <c:ptCount val="1"/>
                <c:pt idx="0">
                  <c:v>I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Sheet1!$B$300:$M$300</c:f>
              <c:numCache>
                <c:formatCode>#,##0.00</c:formatCode>
                <c:ptCount val="12"/>
                <c:pt idx="0" formatCode="General">
                  <c:v>-0.11816</c:v>
                </c:pt>
                <c:pt idx="1">
                  <c:v>3.3822999999999999E-2</c:v>
                </c:pt>
                <c:pt idx="2">
                  <c:v>-0.2321</c:v>
                </c:pt>
                <c:pt idx="3">
                  <c:v>2.3050999999999999E-2</c:v>
                </c:pt>
                <c:pt idx="4">
                  <c:v>4.9577000000000003E-2</c:v>
                </c:pt>
                <c:pt idx="5">
                  <c:v>-1.848E-2</c:v>
                </c:pt>
                <c:pt idx="6">
                  <c:v>3.0804999999999999E-2</c:v>
                </c:pt>
                <c:pt idx="7">
                  <c:v>-0.1096</c:v>
                </c:pt>
                <c:pt idx="8" formatCode="General">
                  <c:v>-0.16474</c:v>
                </c:pt>
                <c:pt idx="9" formatCode="General">
                  <c:v>-1.6719999999999999E-2</c:v>
                </c:pt>
                <c:pt idx="10" formatCode="General">
                  <c:v>-6.0999999999999999E-2</c:v>
                </c:pt>
                <c:pt idx="11" formatCode="General">
                  <c:v>-0.11735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EF0-4418-A1C2-8DB17B8AE0B5}"/>
            </c:ext>
          </c:extLst>
        </c:ser>
        <c:ser>
          <c:idx val="11"/>
          <c:order val="11"/>
          <c:tx>
            <c:strRef>
              <c:f>Sheet1!$A$301</c:f>
              <c:strCache>
                <c:ptCount val="1"/>
                <c:pt idx="0">
                  <c:v>IG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Sheet1!$B$301:$M$301</c:f>
              <c:numCache>
                <c:formatCode>#,##0.00</c:formatCode>
                <c:ptCount val="12"/>
                <c:pt idx="0" formatCode="General">
                  <c:v>0.19856499999999999</c:v>
                </c:pt>
                <c:pt idx="1">
                  <c:v>0.15598699999999999</c:v>
                </c:pt>
                <c:pt idx="2">
                  <c:v>0.15984499999999999</c:v>
                </c:pt>
                <c:pt idx="3">
                  <c:v>0.15614600000000001</c:v>
                </c:pt>
                <c:pt idx="4">
                  <c:v>0.13520699999999999</c:v>
                </c:pt>
                <c:pt idx="5">
                  <c:v>0.13910700000000001</c:v>
                </c:pt>
                <c:pt idx="6">
                  <c:v>0.210259</c:v>
                </c:pt>
                <c:pt idx="7">
                  <c:v>0.182281</c:v>
                </c:pt>
                <c:pt idx="8" formatCode="General">
                  <c:v>0.35512500000000002</c:v>
                </c:pt>
                <c:pt idx="9" formatCode="General">
                  <c:v>0.27004600000000001</c:v>
                </c:pt>
                <c:pt idx="10" formatCode="General">
                  <c:v>0.22257299999999999</c:v>
                </c:pt>
                <c:pt idx="11" formatCode="General">
                  <c:v>0.27652100000000002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EF0-4418-A1C2-8DB17B8AE0B5}"/>
            </c:ext>
          </c:extLst>
        </c:ser>
        <c:ser>
          <c:idx val="12"/>
          <c:order val="12"/>
          <c:tx>
            <c:strRef>
              <c:f>Sheet1!$A$302</c:f>
              <c:strCache>
                <c:ptCount val="1"/>
                <c:pt idx="0">
                  <c:v>IS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Sheet1!$B$302:$M$302</c:f>
              <c:numCache>
                <c:formatCode>#,##0.00</c:formatCode>
                <c:ptCount val="12"/>
                <c:pt idx="0" formatCode="General">
                  <c:v>0.17198099999999999</c:v>
                </c:pt>
                <c:pt idx="1">
                  <c:v>0.180178</c:v>
                </c:pt>
                <c:pt idx="2">
                  <c:v>0.17110400000000001</c:v>
                </c:pt>
                <c:pt idx="3">
                  <c:v>0.158111</c:v>
                </c:pt>
                <c:pt idx="4">
                  <c:v>0.14988799999999999</c:v>
                </c:pt>
                <c:pt idx="5">
                  <c:v>0.18352199999999999</c:v>
                </c:pt>
                <c:pt idx="6">
                  <c:v>0.257108</c:v>
                </c:pt>
                <c:pt idx="7">
                  <c:v>0.22489999999999999</c:v>
                </c:pt>
                <c:pt idx="8" formatCode="General">
                  <c:v>0.27437600000000001</c:v>
                </c:pt>
                <c:pt idx="9" formatCode="General">
                  <c:v>0.31725399999999998</c:v>
                </c:pt>
                <c:pt idx="10" formatCode="General">
                  <c:v>0.18005199999999999</c:v>
                </c:pt>
                <c:pt idx="11" formatCode="General">
                  <c:v>0.16889000000000001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EF0-4418-A1C2-8DB17B8AE0B5}"/>
            </c:ext>
          </c:extLst>
        </c:ser>
        <c:ser>
          <c:idx val="13"/>
          <c:order val="13"/>
          <c:tx>
            <c:strRef>
              <c:f>Sheet1!$A$303</c:f>
              <c:strCache>
                <c:ptCount val="1"/>
                <c:pt idx="0">
                  <c:v>IGS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Sheet1!$B$303:$M$303</c:f>
              <c:numCache>
                <c:formatCode>#,##0.00</c:formatCode>
                <c:ptCount val="12"/>
                <c:pt idx="0" formatCode="General">
                  <c:v>0.20153699999999999</c:v>
                </c:pt>
                <c:pt idx="1">
                  <c:v>0.16980500000000001</c:v>
                </c:pt>
                <c:pt idx="2">
                  <c:v>0.163216</c:v>
                </c:pt>
                <c:pt idx="3">
                  <c:v>0.15881999999999999</c:v>
                </c:pt>
                <c:pt idx="4">
                  <c:v>0.152281</c:v>
                </c:pt>
                <c:pt idx="5">
                  <c:v>0.170436</c:v>
                </c:pt>
                <c:pt idx="6">
                  <c:v>0.202349</c:v>
                </c:pt>
                <c:pt idx="7">
                  <c:v>0.18848899999999999</c:v>
                </c:pt>
                <c:pt idx="8" formatCode="General">
                  <c:v>0.31147000000000002</c:v>
                </c:pt>
                <c:pt idx="9" formatCode="General">
                  <c:v>0.30864599999999998</c:v>
                </c:pt>
                <c:pt idx="10" formatCode="General">
                  <c:v>0.22257299999999999</c:v>
                </c:pt>
                <c:pt idx="11" formatCode="General">
                  <c:v>0.291298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EF0-4418-A1C2-8DB17B8AE0B5}"/>
            </c:ext>
          </c:extLst>
        </c:ser>
        <c:ser>
          <c:idx val="14"/>
          <c:order val="14"/>
          <c:tx>
            <c:strRef>
              <c:f>Sheet1!$A$304</c:f>
              <c:strCache>
                <c:ptCount val="1"/>
                <c:pt idx="0">
                  <c:v>GSD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Sheet1!$B$304:$M$304</c:f>
              <c:numCache>
                <c:formatCode>#,##0.00</c:formatCode>
                <c:ptCount val="12"/>
                <c:pt idx="0" formatCode="General">
                  <c:v>0.21371299999999999</c:v>
                </c:pt>
                <c:pt idx="1">
                  <c:v>0.15387300000000001</c:v>
                </c:pt>
                <c:pt idx="2">
                  <c:v>0.16427</c:v>
                </c:pt>
                <c:pt idx="3">
                  <c:v>0.17121500000000001</c:v>
                </c:pt>
                <c:pt idx="4">
                  <c:v>0.13647300000000001</c:v>
                </c:pt>
                <c:pt idx="5">
                  <c:v>0.17580599999999999</c:v>
                </c:pt>
                <c:pt idx="6">
                  <c:v>0.21671899999999999</c:v>
                </c:pt>
                <c:pt idx="7">
                  <c:v>0.189528</c:v>
                </c:pt>
                <c:pt idx="8" formatCode="General">
                  <c:v>0.28745999999999999</c:v>
                </c:pt>
                <c:pt idx="9" formatCode="General">
                  <c:v>0.31735000000000002</c:v>
                </c:pt>
                <c:pt idx="10" formatCode="General">
                  <c:v>0.380718</c:v>
                </c:pt>
                <c:pt idx="11" formatCode="General">
                  <c:v>0.28479900000000002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EF0-4418-A1C2-8DB17B8AE0B5}"/>
            </c:ext>
          </c:extLst>
        </c:ser>
        <c:ser>
          <c:idx val="15"/>
          <c:order val="15"/>
          <c:tx>
            <c:strRef>
              <c:f>Sheet1!$A$305</c:f>
              <c:strCache>
                <c:ptCount val="1"/>
                <c:pt idx="0">
                  <c:v>IGNORE_THIS_2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Sheet1!$B$305:$M$305</c:f>
              <c:numCache>
                <c:formatCode>#,##0.00</c:formatCode>
                <c:ptCount val="12"/>
                <c:pt idx="0" formatCode="General">
                  <c:v>0.203678</c:v>
                </c:pt>
                <c:pt idx="1">
                  <c:v>0.15387300000000001</c:v>
                </c:pt>
                <c:pt idx="2">
                  <c:v>0.18119099999999999</c:v>
                </c:pt>
                <c:pt idx="3">
                  <c:v>0.18707399999999999</c:v>
                </c:pt>
                <c:pt idx="4">
                  <c:v>5.6930000000000001E-2</c:v>
                </c:pt>
                <c:pt idx="5">
                  <c:v>0.21240000000000001</c:v>
                </c:pt>
                <c:pt idx="6">
                  <c:v>0.21671899999999999</c:v>
                </c:pt>
                <c:pt idx="7">
                  <c:v>0.19469600000000001</c:v>
                </c:pt>
                <c:pt idx="8" formatCode="General">
                  <c:v>0.35512500000000002</c:v>
                </c:pt>
                <c:pt idx="9" formatCode="General">
                  <c:v>0.26902700000000002</c:v>
                </c:pt>
                <c:pt idx="10" formatCode="General">
                  <c:v>0.26961200000000002</c:v>
                </c:pt>
                <c:pt idx="11" formatCode="General">
                  <c:v>0.26165699999999997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EF0-4418-A1C2-8DB17B8AE0B5}"/>
            </c:ext>
          </c:extLst>
        </c:ser>
        <c:ser>
          <c:idx val="16"/>
          <c:order val="16"/>
          <c:tx>
            <c:strRef>
              <c:f>Sheet1!$A$306</c:f>
              <c:strCache>
                <c:ptCount val="1"/>
                <c:pt idx="0">
                  <c:v>GD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Sheet1!$B$306:$M$306</c:f>
              <c:numCache>
                <c:formatCode>#,##0.00</c:formatCode>
                <c:ptCount val="12"/>
                <c:pt idx="0" formatCode="General">
                  <c:v>0.20968500000000001</c:v>
                </c:pt>
                <c:pt idx="1">
                  <c:v>0.16980899999999999</c:v>
                </c:pt>
                <c:pt idx="2">
                  <c:v>0.15958800000000001</c:v>
                </c:pt>
                <c:pt idx="3">
                  <c:v>0.191769</c:v>
                </c:pt>
                <c:pt idx="4">
                  <c:v>0.27967700000000001</c:v>
                </c:pt>
                <c:pt idx="5">
                  <c:v>0.17919599999999999</c:v>
                </c:pt>
                <c:pt idx="6">
                  <c:v>0.18696099999999999</c:v>
                </c:pt>
                <c:pt idx="7">
                  <c:v>0.189528</c:v>
                </c:pt>
                <c:pt idx="8" formatCode="General">
                  <c:v>0.355298</c:v>
                </c:pt>
                <c:pt idx="9" formatCode="General">
                  <c:v>0.27004600000000001</c:v>
                </c:pt>
                <c:pt idx="10" formatCode="General">
                  <c:v>0.328484</c:v>
                </c:pt>
                <c:pt idx="11" formatCode="General">
                  <c:v>0.21846599999999999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EF0-4418-A1C2-8DB17B8AE0B5}"/>
            </c:ext>
          </c:extLst>
        </c:ser>
        <c:ser>
          <c:idx val="17"/>
          <c:order val="17"/>
          <c:tx>
            <c:strRef>
              <c:f>Sheet1!$A$307</c:f>
              <c:strCache>
                <c:ptCount val="1"/>
                <c:pt idx="0">
                  <c:v>GN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Sheet1!$B$307:$M$307</c:f>
              <c:numCache>
                <c:formatCode>#,##0.00</c:formatCode>
                <c:ptCount val="12"/>
                <c:pt idx="0" formatCode="General">
                  <c:v>0.20565700000000001</c:v>
                </c:pt>
                <c:pt idx="1">
                  <c:v>0.145485</c:v>
                </c:pt>
                <c:pt idx="2">
                  <c:v>0.17110400000000001</c:v>
                </c:pt>
                <c:pt idx="3">
                  <c:v>0.159529</c:v>
                </c:pt>
                <c:pt idx="4">
                  <c:v>0.235267</c:v>
                </c:pt>
                <c:pt idx="5">
                  <c:v>0.17580599999999999</c:v>
                </c:pt>
                <c:pt idx="6">
                  <c:v>0.22029199999999999</c:v>
                </c:pt>
                <c:pt idx="7">
                  <c:v>0.18488299999999999</c:v>
                </c:pt>
                <c:pt idx="8" formatCode="General">
                  <c:v>0.28745999999999999</c:v>
                </c:pt>
                <c:pt idx="9" formatCode="General">
                  <c:v>0.25016300000000002</c:v>
                </c:pt>
                <c:pt idx="10" formatCode="General">
                  <c:v>0.26961200000000002</c:v>
                </c:pt>
                <c:pt idx="11" formatCode="General">
                  <c:v>0.28059499999999998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EF0-4418-A1C2-8DB17B8AE0B5}"/>
            </c:ext>
          </c:extLst>
        </c:ser>
        <c:ser>
          <c:idx val="18"/>
          <c:order val="18"/>
          <c:tx>
            <c:strRef>
              <c:f>Sheet1!$A$308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Sheet1!$B$308:$M$308</c:f>
              <c:numCache>
                <c:formatCode>#,##0.00</c:formatCode>
                <c:ptCount val="12"/>
                <c:pt idx="0" formatCode="General">
                  <c:v>0.21371299999999999</c:v>
                </c:pt>
                <c:pt idx="1">
                  <c:v>0.18942200000000001</c:v>
                </c:pt>
                <c:pt idx="2">
                  <c:v>0.199434</c:v>
                </c:pt>
                <c:pt idx="3">
                  <c:v>0.159529</c:v>
                </c:pt>
                <c:pt idx="4">
                  <c:v>0.17066500000000001</c:v>
                </c:pt>
                <c:pt idx="5">
                  <c:v>0.18352199999999999</c:v>
                </c:pt>
                <c:pt idx="6">
                  <c:v>0.22386500000000001</c:v>
                </c:pt>
                <c:pt idx="7">
                  <c:v>0.19469600000000001</c:v>
                </c:pt>
                <c:pt idx="8" formatCode="General">
                  <c:v>0.28745999999999999</c:v>
                </c:pt>
                <c:pt idx="9" formatCode="General">
                  <c:v>0.23643500000000001</c:v>
                </c:pt>
                <c:pt idx="10" formatCode="General">
                  <c:v>0.25386599999999998</c:v>
                </c:pt>
                <c:pt idx="11" formatCode="General">
                  <c:v>0.28360200000000002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EF0-4418-A1C2-8DB17B8AE0B5}"/>
            </c:ext>
          </c:extLst>
        </c:ser>
        <c:ser>
          <c:idx val="19"/>
          <c:order val="19"/>
          <c:tx>
            <c:strRef>
              <c:f>Sheet1!$A$309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Sheet1!$B$309:$M$309</c:f>
              <c:numCache>
                <c:formatCode>#,##0.00</c:formatCode>
                <c:ptCount val="12"/>
                <c:pt idx="0" formatCode="General">
                  <c:v>0.203678</c:v>
                </c:pt>
                <c:pt idx="1">
                  <c:v>0.166743</c:v>
                </c:pt>
                <c:pt idx="2">
                  <c:v>0.17110400000000001</c:v>
                </c:pt>
                <c:pt idx="3">
                  <c:v>0.18450800000000001</c:v>
                </c:pt>
                <c:pt idx="4">
                  <c:v>0.196876</c:v>
                </c:pt>
                <c:pt idx="5">
                  <c:v>0.17580599999999999</c:v>
                </c:pt>
                <c:pt idx="6">
                  <c:v>0.18696099999999999</c:v>
                </c:pt>
                <c:pt idx="7">
                  <c:v>0.19573499999999999</c:v>
                </c:pt>
                <c:pt idx="8" formatCode="General">
                  <c:v>0.28745999999999999</c:v>
                </c:pt>
                <c:pt idx="9" formatCode="General">
                  <c:v>0.293271</c:v>
                </c:pt>
                <c:pt idx="10" formatCode="General">
                  <c:v>0.223161</c:v>
                </c:pt>
                <c:pt idx="11" formatCode="General">
                  <c:v>0.26165699999999997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EF0-4418-A1C2-8DB17B8AE0B5}"/>
            </c:ext>
          </c:extLst>
        </c:ser>
        <c:ser>
          <c:idx val="20"/>
          <c:order val="20"/>
          <c:tx>
            <c:strRef>
              <c:f>Sheet1!$A$310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Sheet1!$B$289:$M$289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Sheet1!$B$310:$M$310</c:f>
              <c:numCache>
                <c:formatCode>#,##0.00</c:formatCode>
                <c:ptCount val="12"/>
                <c:pt idx="0" formatCode="General">
                  <c:v>0.23974000000000001</c:v>
                </c:pt>
                <c:pt idx="1">
                  <c:v>0.166743</c:v>
                </c:pt>
                <c:pt idx="2">
                  <c:v>0.15951599999999999</c:v>
                </c:pt>
                <c:pt idx="3">
                  <c:v>0.17358799999999999</c:v>
                </c:pt>
                <c:pt idx="4">
                  <c:v>0.20091300000000001</c:v>
                </c:pt>
                <c:pt idx="5">
                  <c:v>0.21874199999999999</c:v>
                </c:pt>
                <c:pt idx="6">
                  <c:v>0.19952400000000001</c:v>
                </c:pt>
                <c:pt idx="7">
                  <c:v>0.196774</c:v>
                </c:pt>
                <c:pt idx="8" formatCode="General">
                  <c:v>0.28745999999999999</c:v>
                </c:pt>
                <c:pt idx="9" formatCode="General">
                  <c:v>0.33312199999999997</c:v>
                </c:pt>
                <c:pt idx="10" formatCode="General">
                  <c:v>0.223161</c:v>
                </c:pt>
                <c:pt idx="11" formatCode="General">
                  <c:v>0.32018099999999999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EF0-4418-A1C2-8DB17B8AE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862203"/>
        <c:axId val="1653445189"/>
      </c:lineChart>
      <c:catAx>
        <c:axId val="1153862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3445189"/>
        <c:crosses val="autoZero"/>
        <c:auto val="1"/>
        <c:lblAlgn val="ctr"/>
        <c:lblOffset val="100"/>
        <c:noMultiLvlLbl val="1"/>
      </c:catAx>
      <c:valAx>
        <c:axId val="1653445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38622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GearyC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Sheet1!$A$321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Sheet1!$B$321:$M$321</c:f>
              <c:numCache>
                <c:formatCode>#,##0.00</c:formatCode>
                <c:ptCount val="12"/>
                <c:pt idx="0">
                  <c:v>0.78164042597031902</c:v>
                </c:pt>
                <c:pt idx="1">
                  <c:v>0.74545545692291504</c:v>
                </c:pt>
                <c:pt idx="2">
                  <c:v>0.67366051259603099</c:v>
                </c:pt>
                <c:pt idx="3">
                  <c:v>0.77852274164361301</c:v>
                </c:pt>
                <c:pt idx="4">
                  <c:v>0.70416733004457599</c:v>
                </c:pt>
                <c:pt idx="5">
                  <c:v>0.749683112381341</c:v>
                </c:pt>
                <c:pt idx="6">
                  <c:v>0.65166401037065502</c:v>
                </c:pt>
                <c:pt idx="7">
                  <c:v>0.72088090885314104</c:v>
                </c:pt>
                <c:pt idx="8">
                  <c:v>0.60515218666593795</c:v>
                </c:pt>
                <c:pt idx="9">
                  <c:v>0.58707412546063797</c:v>
                </c:pt>
                <c:pt idx="10">
                  <c:v>0.59062365236775505</c:v>
                </c:pt>
                <c:pt idx="11">
                  <c:v>0.52135007385129795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5C-43A0-B4C6-6810529B392C}"/>
            </c:ext>
          </c:extLst>
        </c:ser>
        <c:ser>
          <c:idx val="1"/>
          <c:order val="1"/>
          <c:tx>
            <c:strRef>
              <c:f>Sheet1!$A$322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Sheet1!$B$322:$M$322</c:f>
              <c:numCache>
                <c:formatCode>#,##0.00</c:formatCode>
                <c:ptCount val="12"/>
                <c:pt idx="0">
                  <c:v>0.56936160260255997</c:v>
                </c:pt>
                <c:pt idx="1">
                  <c:v>0.51324399113992403</c:v>
                </c:pt>
                <c:pt idx="2">
                  <c:v>0.60414784320260395</c:v>
                </c:pt>
                <c:pt idx="3">
                  <c:v>0.61300117128838705</c:v>
                </c:pt>
                <c:pt idx="4">
                  <c:v>0.64461123464080605</c:v>
                </c:pt>
                <c:pt idx="5">
                  <c:v>0.70016568496173803</c:v>
                </c:pt>
                <c:pt idx="6">
                  <c:v>0.57087603146434496</c:v>
                </c:pt>
                <c:pt idx="7">
                  <c:v>0.60889125171520397</c:v>
                </c:pt>
                <c:pt idx="8">
                  <c:v>0.55283093064413202</c:v>
                </c:pt>
                <c:pt idx="9">
                  <c:v>0.39163175943281803</c:v>
                </c:pt>
                <c:pt idx="10">
                  <c:v>0.51482114117868305</c:v>
                </c:pt>
                <c:pt idx="11">
                  <c:v>0.45444759029259002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5C-43A0-B4C6-6810529B392C}"/>
            </c:ext>
          </c:extLst>
        </c:ser>
        <c:ser>
          <c:idx val="2"/>
          <c:order val="2"/>
          <c:tx>
            <c:strRef>
              <c:f>Sheet1!$A$323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Sheet1!$B$323:$M$323</c:f>
              <c:numCache>
                <c:formatCode>#,##0.00</c:formatCode>
                <c:ptCount val="12"/>
                <c:pt idx="0">
                  <c:v>0.64342570102638097</c:v>
                </c:pt>
                <c:pt idx="1">
                  <c:v>0.621468183583745</c:v>
                </c:pt>
                <c:pt idx="2">
                  <c:v>0.63895728586824696</c:v>
                </c:pt>
                <c:pt idx="3">
                  <c:v>0.70336376630682496</c:v>
                </c:pt>
                <c:pt idx="4">
                  <c:v>0.73688429866136995</c:v>
                </c:pt>
                <c:pt idx="5">
                  <c:v>0.729377565514575</c:v>
                </c:pt>
                <c:pt idx="6">
                  <c:v>0.647262025835455</c:v>
                </c:pt>
                <c:pt idx="7">
                  <c:v>0.69673489540932299</c:v>
                </c:pt>
                <c:pt idx="8">
                  <c:v>0.53102377920634303</c:v>
                </c:pt>
                <c:pt idx="9">
                  <c:v>0.500629935303327</c:v>
                </c:pt>
                <c:pt idx="10">
                  <c:v>0.54557404705594204</c:v>
                </c:pt>
                <c:pt idx="11">
                  <c:v>0.63386026632199399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5C-43A0-B4C6-6810529B392C}"/>
            </c:ext>
          </c:extLst>
        </c:ser>
        <c:ser>
          <c:idx val="3"/>
          <c:order val="3"/>
          <c:tx>
            <c:strRef>
              <c:f>Sheet1!$A$324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Sheet1!$B$324:$M$324</c:f>
              <c:numCache>
                <c:formatCode>#,##0.00</c:formatCode>
                <c:ptCount val="12"/>
                <c:pt idx="0">
                  <c:v>0.72433005980068899</c:v>
                </c:pt>
                <c:pt idx="1">
                  <c:v>0.68656957968633903</c:v>
                </c:pt>
                <c:pt idx="2">
                  <c:v>0.69534794521777799</c:v>
                </c:pt>
                <c:pt idx="3">
                  <c:v>0.74124450342577897</c:v>
                </c:pt>
                <c:pt idx="4">
                  <c:v>0.709116106027041</c:v>
                </c:pt>
                <c:pt idx="5">
                  <c:v>0.75979821589233398</c:v>
                </c:pt>
                <c:pt idx="6">
                  <c:v>0.649831397250896</c:v>
                </c:pt>
                <c:pt idx="7">
                  <c:v>0.74725965871559796</c:v>
                </c:pt>
                <c:pt idx="8">
                  <c:v>0.62214190336052899</c:v>
                </c:pt>
                <c:pt idx="9">
                  <c:v>0.555597216867314</c:v>
                </c:pt>
                <c:pt idx="10">
                  <c:v>0.64688377763301597</c:v>
                </c:pt>
                <c:pt idx="11">
                  <c:v>0.63386026632199399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5C-43A0-B4C6-6810529B392C}"/>
            </c:ext>
          </c:extLst>
        </c:ser>
        <c:ser>
          <c:idx val="4"/>
          <c:order val="4"/>
          <c:tx>
            <c:strRef>
              <c:f>Sheet1!$A$325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Sheet1!$B$325:$M$325</c:f>
              <c:numCache>
                <c:formatCode>#,##0.00</c:formatCode>
                <c:ptCount val="12"/>
                <c:pt idx="0">
                  <c:v>0.67571499999999995</c:v>
                </c:pt>
                <c:pt idx="1">
                  <c:v>0.66315299999999999</c:v>
                </c:pt>
                <c:pt idx="2">
                  <c:v>0.73205799999999999</c:v>
                </c:pt>
                <c:pt idx="3">
                  <c:v>0.71353299999999997</c:v>
                </c:pt>
                <c:pt idx="4">
                  <c:v>0.80939899999999998</c:v>
                </c:pt>
                <c:pt idx="5">
                  <c:v>0.76624800000000004</c:v>
                </c:pt>
                <c:pt idx="6">
                  <c:v>0.71613599999999999</c:v>
                </c:pt>
                <c:pt idx="7">
                  <c:v>0.73118399999999995</c:v>
                </c:pt>
                <c:pt idx="8">
                  <c:v>0.60515200000000002</c:v>
                </c:pt>
                <c:pt idx="9">
                  <c:v>0.566944</c:v>
                </c:pt>
                <c:pt idx="10">
                  <c:v>0.59062400000000004</c:v>
                </c:pt>
                <c:pt idx="11">
                  <c:v>0.57282299999999997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5C-43A0-B4C6-6810529B392C}"/>
            </c:ext>
          </c:extLst>
        </c:ser>
        <c:ser>
          <c:idx val="5"/>
          <c:order val="5"/>
          <c:tx>
            <c:strRef>
              <c:f>Sheet1!$A$326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Sheet1!$B$326:$M$326</c:f>
              <c:numCache>
                <c:formatCode>#,##0.00</c:formatCode>
                <c:ptCount val="12"/>
                <c:pt idx="0">
                  <c:v>0.79495334020184505</c:v>
                </c:pt>
                <c:pt idx="1">
                  <c:v>0.81415045670500596</c:v>
                </c:pt>
                <c:pt idx="2">
                  <c:v>0.83228308389095496</c:v>
                </c:pt>
                <c:pt idx="3">
                  <c:v>0.84001723723061295</c:v>
                </c:pt>
                <c:pt idx="4">
                  <c:v>0.83829866507344397</c:v>
                </c:pt>
                <c:pt idx="5">
                  <c:v>0.82770920966553996</c:v>
                </c:pt>
                <c:pt idx="6">
                  <c:v>0.80323095148416201</c:v>
                </c:pt>
                <c:pt idx="7">
                  <c:v>0.82824608463788896</c:v>
                </c:pt>
                <c:pt idx="8">
                  <c:v>0.73952281404374998</c:v>
                </c:pt>
                <c:pt idx="9">
                  <c:v>0.64962599292744505</c:v>
                </c:pt>
                <c:pt idx="10">
                  <c:v>0.68627252520255599</c:v>
                </c:pt>
                <c:pt idx="11">
                  <c:v>0.73670919356244902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5C-43A0-B4C6-6810529B392C}"/>
            </c:ext>
          </c:extLst>
        </c:ser>
        <c:ser>
          <c:idx val="6"/>
          <c:order val="6"/>
          <c:tx>
            <c:strRef>
              <c:f>Sheet1!$A$327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Sheet1!$B$327:$M$327</c:f>
              <c:numCache>
                <c:formatCode>#,##0.00</c:formatCode>
                <c:ptCount val="12"/>
                <c:pt idx="0">
                  <c:v>0.79855699999999996</c:v>
                </c:pt>
                <c:pt idx="1">
                  <c:v>0.81415000000000004</c:v>
                </c:pt>
                <c:pt idx="2">
                  <c:v>0.82887999999999995</c:v>
                </c:pt>
                <c:pt idx="3">
                  <c:v>0.81073700000000004</c:v>
                </c:pt>
                <c:pt idx="4">
                  <c:v>0.83829900000000002</c:v>
                </c:pt>
                <c:pt idx="5">
                  <c:v>0.81870299999999996</c:v>
                </c:pt>
                <c:pt idx="6">
                  <c:v>0.81174999999999997</c:v>
                </c:pt>
                <c:pt idx="7">
                  <c:v>0.70953999999999995</c:v>
                </c:pt>
                <c:pt idx="8">
                  <c:v>0.81428900000000004</c:v>
                </c:pt>
                <c:pt idx="9">
                  <c:v>0.66626700000000005</c:v>
                </c:pt>
                <c:pt idx="10">
                  <c:v>0.65579600000000005</c:v>
                </c:pt>
                <c:pt idx="11">
                  <c:v>0.693187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5C-43A0-B4C6-6810529B392C}"/>
            </c:ext>
          </c:extLst>
        </c:ser>
        <c:ser>
          <c:idx val="7"/>
          <c:order val="7"/>
          <c:tx>
            <c:strRef>
              <c:f>Sheet1!$A$328</c:f>
              <c:strCache>
                <c:ptCount val="1"/>
                <c:pt idx="0">
                  <c:v>G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Sheet1!$B$328:$M$328</c:f>
              <c:numCache>
                <c:formatCode>#,##0.00</c:formatCode>
                <c:ptCount val="12"/>
                <c:pt idx="0" formatCode="General">
                  <c:v>0.83</c:v>
                </c:pt>
                <c:pt idx="1">
                  <c:v>0</c:v>
                </c:pt>
                <c:pt idx="2">
                  <c:v>0.8</c:v>
                </c:pt>
                <c:pt idx="3">
                  <c:v>0.8</c:v>
                </c:pt>
                <c:pt idx="4">
                  <c:v>0.82</c:v>
                </c:pt>
                <c:pt idx="5">
                  <c:v>0.82</c:v>
                </c:pt>
                <c:pt idx="6">
                  <c:v>0.79</c:v>
                </c:pt>
                <c:pt idx="7">
                  <c:v>0.8</c:v>
                </c:pt>
                <c:pt idx="8" formatCode="General">
                  <c:v>0.67</c:v>
                </c:pt>
                <c:pt idx="9" formatCode="General">
                  <c:v>0.72</c:v>
                </c:pt>
                <c:pt idx="10" formatCode="General">
                  <c:v>0.66</c:v>
                </c:pt>
                <c:pt idx="11" formatCode="General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A5C-43A0-B4C6-6810529B392C}"/>
            </c:ext>
          </c:extLst>
        </c:ser>
        <c:ser>
          <c:idx val="8"/>
          <c:order val="8"/>
          <c:tx>
            <c:strRef>
              <c:f>Sheet1!$A$329</c:f>
              <c:strCache>
                <c:ptCount val="1"/>
                <c:pt idx="0">
                  <c:v>IGNORE_THIS_1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Sheet1!$B$329:$M$329</c:f>
              <c:numCache>
                <c:formatCode>#,##0.00</c:formatCode>
                <c:ptCount val="12"/>
                <c:pt idx="0" formatCode="General">
                  <c:v>0.73392199999999996</c:v>
                </c:pt>
                <c:pt idx="1">
                  <c:v>0.822241</c:v>
                </c:pt>
                <c:pt idx="2">
                  <c:v>0.79656300000000002</c:v>
                </c:pt>
                <c:pt idx="3">
                  <c:v>0.81405300000000003</c:v>
                </c:pt>
                <c:pt idx="4">
                  <c:v>0.76042299999999996</c:v>
                </c:pt>
                <c:pt idx="5">
                  <c:v>0.81618400000000002</c:v>
                </c:pt>
                <c:pt idx="6">
                  <c:v>0.75091799999999997</c:v>
                </c:pt>
                <c:pt idx="7">
                  <c:v>0.80979699999999999</c:v>
                </c:pt>
                <c:pt idx="8" formatCode="General">
                  <c:v>0.71679700000000002</c:v>
                </c:pt>
                <c:pt idx="9" formatCode="General">
                  <c:v>0.66629700000000003</c:v>
                </c:pt>
                <c:pt idx="10" formatCode="General">
                  <c:v>0.65127900000000005</c:v>
                </c:pt>
                <c:pt idx="11" formatCode="General">
                  <c:v>0.71923700000000002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5C-43A0-B4C6-6810529B392C}"/>
            </c:ext>
          </c:extLst>
        </c:ser>
        <c:ser>
          <c:idx val="9"/>
          <c:order val="9"/>
          <c:tx>
            <c:strRef>
              <c:f>Sheet1!$A$330</c:f>
              <c:strCache>
                <c:ptCount val="1"/>
                <c:pt idx="0">
                  <c:v>GS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Sheet1!$B$330:$M$330</c:f>
              <c:numCache>
                <c:formatCode>#,##0.00</c:formatCode>
                <c:ptCount val="12"/>
                <c:pt idx="0" formatCode="General">
                  <c:v>0.79495300000000002</c:v>
                </c:pt>
                <c:pt idx="1">
                  <c:v>0.822241</c:v>
                </c:pt>
                <c:pt idx="2">
                  <c:v>0.832283</c:v>
                </c:pt>
                <c:pt idx="3">
                  <c:v>0.84001700000000001</c:v>
                </c:pt>
                <c:pt idx="4">
                  <c:v>0.84763699999999997</c:v>
                </c:pt>
                <c:pt idx="5">
                  <c:v>0.81618400000000002</c:v>
                </c:pt>
                <c:pt idx="6">
                  <c:v>0.78134599999999998</c:v>
                </c:pt>
                <c:pt idx="7">
                  <c:v>0.80202099999999998</c:v>
                </c:pt>
                <c:pt idx="8" formatCode="General">
                  <c:v>0.70953999999999995</c:v>
                </c:pt>
                <c:pt idx="9" formatCode="General">
                  <c:v>0.75420500000000001</c:v>
                </c:pt>
                <c:pt idx="10" formatCode="General">
                  <c:v>0.73119699999999999</c:v>
                </c:pt>
                <c:pt idx="11" formatCode="General">
                  <c:v>0.73636900000000005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A5C-43A0-B4C6-6810529B392C}"/>
            </c:ext>
          </c:extLst>
        </c:ser>
        <c:ser>
          <c:idx val="10"/>
          <c:order val="10"/>
          <c:tx>
            <c:strRef>
              <c:f>Sheet1!$A$331</c:f>
              <c:strCache>
                <c:ptCount val="1"/>
                <c:pt idx="0">
                  <c:v>I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Sheet1!$B$331:$M$331</c:f>
              <c:numCache>
                <c:formatCode>#,##0.00</c:formatCode>
                <c:ptCount val="12"/>
                <c:pt idx="0" formatCode="General">
                  <c:v>0.81420800000000004</c:v>
                </c:pt>
                <c:pt idx="1">
                  <c:v>0.82186899999999996</c:v>
                </c:pt>
                <c:pt idx="2">
                  <c:v>0.83710499999999999</c:v>
                </c:pt>
                <c:pt idx="3">
                  <c:v>0.83447800000000005</c:v>
                </c:pt>
                <c:pt idx="4">
                  <c:v>0.851518</c:v>
                </c:pt>
                <c:pt idx="5">
                  <c:v>0.81516900000000003</c:v>
                </c:pt>
                <c:pt idx="6">
                  <c:v>0.75766800000000001</c:v>
                </c:pt>
                <c:pt idx="7">
                  <c:v>0.79389600000000005</c:v>
                </c:pt>
                <c:pt idx="8" formatCode="General">
                  <c:v>0.72483799999999998</c:v>
                </c:pt>
                <c:pt idx="9" formatCode="General">
                  <c:v>0.698681</c:v>
                </c:pt>
                <c:pt idx="10" formatCode="General">
                  <c:v>0.74462499999999998</c:v>
                </c:pt>
                <c:pt idx="11" formatCode="General">
                  <c:v>0.83718999999999999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5C-43A0-B4C6-6810529B392C}"/>
            </c:ext>
          </c:extLst>
        </c:ser>
        <c:ser>
          <c:idx val="11"/>
          <c:order val="11"/>
          <c:tx>
            <c:strRef>
              <c:f>Sheet1!$A$332</c:f>
              <c:strCache>
                <c:ptCount val="1"/>
                <c:pt idx="0">
                  <c:v>IG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Sheet1!$B$332:$M$332</c:f>
              <c:numCache>
                <c:formatCode>#,##0.00</c:formatCode>
                <c:ptCount val="12"/>
                <c:pt idx="0" formatCode="General">
                  <c:v>0.79973499999999997</c:v>
                </c:pt>
                <c:pt idx="1">
                  <c:v>0.84332200000000002</c:v>
                </c:pt>
                <c:pt idx="2">
                  <c:v>0.83911199999999997</c:v>
                </c:pt>
                <c:pt idx="3">
                  <c:v>0.84155999999999997</c:v>
                </c:pt>
                <c:pt idx="4">
                  <c:v>0.86534599999999995</c:v>
                </c:pt>
                <c:pt idx="5">
                  <c:v>0.86468500000000004</c:v>
                </c:pt>
                <c:pt idx="6">
                  <c:v>0.78976199999999996</c:v>
                </c:pt>
                <c:pt idx="7">
                  <c:v>0.81757299999999999</c:v>
                </c:pt>
                <c:pt idx="8" formatCode="General">
                  <c:v>0.64347100000000002</c:v>
                </c:pt>
                <c:pt idx="9" formatCode="General">
                  <c:v>0.72927500000000001</c:v>
                </c:pt>
                <c:pt idx="10" formatCode="General">
                  <c:v>0.77638600000000002</c:v>
                </c:pt>
                <c:pt idx="11" formatCode="General">
                  <c:v>0.71929699999999996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5C-43A0-B4C6-6810529B392C}"/>
            </c:ext>
          </c:extLst>
        </c:ser>
        <c:ser>
          <c:idx val="12"/>
          <c:order val="12"/>
          <c:tx>
            <c:strRef>
              <c:f>Sheet1!$A$333</c:f>
              <c:strCache>
                <c:ptCount val="1"/>
                <c:pt idx="0">
                  <c:v>IS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Sheet1!$B$333:$M$333</c:f>
              <c:numCache>
                <c:formatCode>#,##0.00</c:formatCode>
                <c:ptCount val="12"/>
                <c:pt idx="0" formatCode="General">
                  <c:v>0.82888300000000004</c:v>
                </c:pt>
                <c:pt idx="1">
                  <c:v>0.81986800000000004</c:v>
                </c:pt>
                <c:pt idx="2">
                  <c:v>0.82887999999999995</c:v>
                </c:pt>
                <c:pt idx="3">
                  <c:v>0.83878600000000003</c:v>
                </c:pt>
                <c:pt idx="4">
                  <c:v>0.852715</c:v>
                </c:pt>
                <c:pt idx="5">
                  <c:v>0.81516900000000003</c:v>
                </c:pt>
                <c:pt idx="6">
                  <c:v>0.74442399999999997</c:v>
                </c:pt>
                <c:pt idx="7">
                  <c:v>0.77455600000000002</c:v>
                </c:pt>
                <c:pt idx="8" formatCode="General">
                  <c:v>0.72404100000000005</c:v>
                </c:pt>
                <c:pt idx="9" formatCode="General">
                  <c:v>0.68160900000000002</c:v>
                </c:pt>
                <c:pt idx="10" formatCode="General">
                  <c:v>0.81694100000000003</c:v>
                </c:pt>
                <c:pt idx="11" formatCode="General">
                  <c:v>0.83111500000000005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A5C-43A0-B4C6-6810529B392C}"/>
            </c:ext>
          </c:extLst>
        </c:ser>
        <c:ser>
          <c:idx val="13"/>
          <c:order val="13"/>
          <c:tx>
            <c:strRef>
              <c:f>Sheet1!$A$334</c:f>
              <c:strCache>
                <c:ptCount val="1"/>
                <c:pt idx="0">
                  <c:v>IGS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Sheet1!$B$334:$M$334</c:f>
              <c:numCache>
                <c:formatCode>#,##0.00</c:formatCode>
                <c:ptCount val="12"/>
                <c:pt idx="0" formatCode="General">
                  <c:v>0.79855699999999996</c:v>
                </c:pt>
                <c:pt idx="1">
                  <c:v>0.829376</c:v>
                </c:pt>
                <c:pt idx="2">
                  <c:v>0.83652000000000004</c:v>
                </c:pt>
                <c:pt idx="3">
                  <c:v>0.83940199999999998</c:v>
                </c:pt>
                <c:pt idx="4">
                  <c:v>0.84883299999999995</c:v>
                </c:pt>
                <c:pt idx="5">
                  <c:v>0.82818599999999998</c:v>
                </c:pt>
                <c:pt idx="6">
                  <c:v>0.798539</c:v>
                </c:pt>
                <c:pt idx="7">
                  <c:v>0.81139499999999998</c:v>
                </c:pt>
                <c:pt idx="8" formatCode="General">
                  <c:v>0.68628599999999995</c:v>
                </c:pt>
                <c:pt idx="9" formatCode="General">
                  <c:v>0.68986499999999995</c:v>
                </c:pt>
                <c:pt idx="10" formatCode="General">
                  <c:v>0.77638600000000002</c:v>
                </c:pt>
                <c:pt idx="11" formatCode="General">
                  <c:v>0.702017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A5C-43A0-B4C6-6810529B392C}"/>
            </c:ext>
          </c:extLst>
        </c:ser>
        <c:ser>
          <c:idx val="14"/>
          <c:order val="14"/>
          <c:tx>
            <c:strRef>
              <c:f>Sheet1!$A$335</c:f>
              <c:strCache>
                <c:ptCount val="1"/>
                <c:pt idx="0">
                  <c:v>GSD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Sheet1!$B$335:$M$335</c:f>
              <c:numCache>
                <c:formatCode>#,##0.00</c:formatCode>
                <c:ptCount val="12"/>
                <c:pt idx="0" formatCode="General">
                  <c:v>0.78637900000000005</c:v>
                </c:pt>
                <c:pt idx="1">
                  <c:v>0.84495900000000002</c:v>
                </c:pt>
                <c:pt idx="2">
                  <c:v>0.83568600000000004</c:v>
                </c:pt>
                <c:pt idx="3">
                  <c:v>0.82853600000000005</c:v>
                </c:pt>
                <c:pt idx="4">
                  <c:v>0.86342699999999994</c:v>
                </c:pt>
                <c:pt idx="5">
                  <c:v>0.82122200000000001</c:v>
                </c:pt>
                <c:pt idx="6">
                  <c:v>0.78639899999999996</c:v>
                </c:pt>
                <c:pt idx="7">
                  <c:v>0.80979699999999999</c:v>
                </c:pt>
                <c:pt idx="8" formatCode="General">
                  <c:v>0.70953999999999995</c:v>
                </c:pt>
                <c:pt idx="9" formatCode="General">
                  <c:v>0.68293800000000005</c:v>
                </c:pt>
                <c:pt idx="10" formatCode="General">
                  <c:v>0.61821599999999999</c:v>
                </c:pt>
                <c:pt idx="11" formatCode="General">
                  <c:v>0.70817600000000003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A5C-43A0-B4C6-6810529B392C}"/>
            </c:ext>
          </c:extLst>
        </c:ser>
        <c:ser>
          <c:idx val="15"/>
          <c:order val="15"/>
          <c:tx>
            <c:strRef>
              <c:f>Sheet1!$A$336</c:f>
              <c:strCache>
                <c:ptCount val="1"/>
                <c:pt idx="0">
                  <c:v>IGNORE_THIS_2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Sheet1!$B$336:$M$336</c:f>
              <c:numCache>
                <c:formatCode>#,##0.00</c:formatCode>
                <c:ptCount val="12"/>
                <c:pt idx="0" formatCode="General">
                  <c:v>0.79675499999999999</c:v>
                </c:pt>
                <c:pt idx="1">
                  <c:v>0.84495900000000002</c:v>
                </c:pt>
                <c:pt idx="2">
                  <c:v>0.81806500000000004</c:v>
                </c:pt>
                <c:pt idx="3">
                  <c:v>0.81201500000000004</c:v>
                </c:pt>
                <c:pt idx="4">
                  <c:v>0.94291800000000003</c:v>
                </c:pt>
                <c:pt idx="5">
                  <c:v>0.79250299999999996</c:v>
                </c:pt>
                <c:pt idx="6">
                  <c:v>0.78639899999999996</c:v>
                </c:pt>
                <c:pt idx="7">
                  <c:v>0.80521799999999999</c:v>
                </c:pt>
                <c:pt idx="8" formatCode="General">
                  <c:v>0.64347100000000002</c:v>
                </c:pt>
                <c:pt idx="9" formatCode="General">
                  <c:v>0.72927399999999998</c:v>
                </c:pt>
                <c:pt idx="10" formatCode="General">
                  <c:v>0.73119699999999999</c:v>
                </c:pt>
                <c:pt idx="11" formatCode="General">
                  <c:v>0.73670899999999995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A5C-43A0-B4C6-6810529B392C}"/>
            </c:ext>
          </c:extLst>
        </c:ser>
        <c:ser>
          <c:idx val="16"/>
          <c:order val="16"/>
          <c:tx>
            <c:strRef>
              <c:f>Sheet1!$A$337</c:f>
              <c:strCache>
                <c:ptCount val="1"/>
                <c:pt idx="0">
                  <c:v>GD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Sheet1!$B$337:$M$337</c:f>
              <c:numCache>
                <c:formatCode>#,##0.00</c:formatCode>
                <c:ptCount val="12"/>
                <c:pt idx="0" formatCode="General">
                  <c:v>0.79066599999999998</c:v>
                </c:pt>
                <c:pt idx="1">
                  <c:v>0.83033199999999996</c:v>
                </c:pt>
                <c:pt idx="2">
                  <c:v>0.84053100000000003</c:v>
                </c:pt>
                <c:pt idx="3">
                  <c:v>0.80752500000000005</c:v>
                </c:pt>
                <c:pt idx="4">
                  <c:v>0.71928700000000001</c:v>
                </c:pt>
                <c:pt idx="5">
                  <c:v>0.81870299999999996</c:v>
                </c:pt>
                <c:pt idx="6">
                  <c:v>0.81399299999999997</c:v>
                </c:pt>
                <c:pt idx="7">
                  <c:v>0.80979699999999999</c:v>
                </c:pt>
                <c:pt idx="8" formatCode="General">
                  <c:v>0.64328700000000005</c:v>
                </c:pt>
                <c:pt idx="9" formatCode="General">
                  <c:v>0.72927500000000001</c:v>
                </c:pt>
                <c:pt idx="10" formatCode="General">
                  <c:v>0.670381</c:v>
                </c:pt>
                <c:pt idx="11" formatCode="General">
                  <c:v>0.77955200000000002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A5C-43A0-B4C6-6810529B392C}"/>
            </c:ext>
          </c:extLst>
        </c:ser>
        <c:ser>
          <c:idx val="17"/>
          <c:order val="17"/>
          <c:tx>
            <c:strRef>
              <c:f>Sheet1!$A$338</c:f>
              <c:strCache>
                <c:ptCount val="1"/>
                <c:pt idx="0">
                  <c:v>GN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Sheet1!$B$338:$M$338</c:f>
              <c:numCache>
                <c:formatCode>#,##0.00</c:formatCode>
                <c:ptCount val="12"/>
                <c:pt idx="0" formatCode="General">
                  <c:v>0.79495300000000002</c:v>
                </c:pt>
                <c:pt idx="1">
                  <c:v>0.85303300000000004</c:v>
                </c:pt>
                <c:pt idx="2">
                  <c:v>0.82887999999999995</c:v>
                </c:pt>
                <c:pt idx="3">
                  <c:v>0.84001700000000001</c:v>
                </c:pt>
                <c:pt idx="4">
                  <c:v>0.76260899999999998</c:v>
                </c:pt>
                <c:pt idx="5">
                  <c:v>0.82122200000000001</c:v>
                </c:pt>
                <c:pt idx="6">
                  <c:v>0.78134599999999998</c:v>
                </c:pt>
                <c:pt idx="7">
                  <c:v>0.81428900000000004</c:v>
                </c:pt>
                <c:pt idx="8" formatCode="General">
                  <c:v>0.70953999999999995</c:v>
                </c:pt>
                <c:pt idx="9" formatCode="General">
                  <c:v>0.748996</c:v>
                </c:pt>
                <c:pt idx="10" formatCode="General">
                  <c:v>0.73119699999999999</c:v>
                </c:pt>
                <c:pt idx="11" formatCode="General">
                  <c:v>0.71443599999999996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A5C-43A0-B4C6-6810529B392C}"/>
            </c:ext>
          </c:extLst>
        </c:ser>
        <c:ser>
          <c:idx val="18"/>
          <c:order val="18"/>
          <c:tx>
            <c:strRef>
              <c:f>Sheet1!$A$339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Sheet1!$B$339:$M$339</c:f>
              <c:numCache>
                <c:formatCode>#,##0.00</c:formatCode>
                <c:ptCount val="12"/>
                <c:pt idx="0" formatCode="General">
                  <c:v>0.78637900000000005</c:v>
                </c:pt>
                <c:pt idx="1">
                  <c:v>0.81282799999999999</c:v>
                </c:pt>
                <c:pt idx="2">
                  <c:v>0.799485</c:v>
                </c:pt>
                <c:pt idx="3">
                  <c:v>0.84001700000000001</c:v>
                </c:pt>
                <c:pt idx="4">
                  <c:v>0.82896099999999995</c:v>
                </c:pt>
                <c:pt idx="5">
                  <c:v>0.81516900000000003</c:v>
                </c:pt>
                <c:pt idx="6">
                  <c:v>0.77629300000000001</c:v>
                </c:pt>
                <c:pt idx="7">
                  <c:v>0.80521799999999999</c:v>
                </c:pt>
                <c:pt idx="8" formatCode="General">
                  <c:v>0.70953999999999995</c:v>
                </c:pt>
                <c:pt idx="9" formatCode="General">
                  <c:v>0.75941499999999995</c:v>
                </c:pt>
                <c:pt idx="10" formatCode="General">
                  <c:v>0.73614299999999999</c:v>
                </c:pt>
                <c:pt idx="11" formatCode="General">
                  <c:v>0.71494800000000003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A5C-43A0-B4C6-6810529B392C}"/>
            </c:ext>
          </c:extLst>
        </c:ser>
        <c:ser>
          <c:idx val="19"/>
          <c:order val="19"/>
          <c:tx>
            <c:strRef>
              <c:f>Sheet1!$A$340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Sheet1!$B$340:$M$340</c:f>
              <c:numCache>
                <c:formatCode>#,##0.00</c:formatCode>
                <c:ptCount val="12"/>
                <c:pt idx="0" formatCode="General">
                  <c:v>0.79675499999999999</c:v>
                </c:pt>
                <c:pt idx="1">
                  <c:v>0.83315399999999995</c:v>
                </c:pt>
                <c:pt idx="2">
                  <c:v>0.82887999999999995</c:v>
                </c:pt>
                <c:pt idx="3">
                  <c:v>0.81405300000000003</c:v>
                </c:pt>
                <c:pt idx="4">
                  <c:v>0.80359599999999998</c:v>
                </c:pt>
                <c:pt idx="5">
                  <c:v>0.82122200000000001</c:v>
                </c:pt>
                <c:pt idx="6">
                  <c:v>0.81399299999999997</c:v>
                </c:pt>
                <c:pt idx="7">
                  <c:v>0.80361899999999997</c:v>
                </c:pt>
                <c:pt idx="8" formatCode="General">
                  <c:v>0.70953999999999995</c:v>
                </c:pt>
                <c:pt idx="9" formatCode="General">
                  <c:v>0.70503300000000002</c:v>
                </c:pt>
                <c:pt idx="10" formatCode="General">
                  <c:v>0.77593900000000005</c:v>
                </c:pt>
                <c:pt idx="11" formatCode="General">
                  <c:v>0.73670899999999995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A5C-43A0-B4C6-6810529B392C}"/>
            </c:ext>
          </c:extLst>
        </c:ser>
        <c:ser>
          <c:idx val="20"/>
          <c:order val="20"/>
          <c:tx>
            <c:strRef>
              <c:f>Sheet1!$A$341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Sheet1!$B$320:$M$320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Sheet1!$B$341:$M$341</c:f>
              <c:numCache>
                <c:formatCode>#,##0.00</c:formatCode>
                <c:ptCount val="12"/>
                <c:pt idx="0" formatCode="General">
                  <c:v>0.76014999999999999</c:v>
                </c:pt>
                <c:pt idx="1">
                  <c:v>0.83315399999999995</c:v>
                </c:pt>
                <c:pt idx="2">
                  <c:v>0.84062099999999995</c:v>
                </c:pt>
                <c:pt idx="3">
                  <c:v>0.82509699999999997</c:v>
                </c:pt>
                <c:pt idx="4">
                  <c:v>0.79973899999999998</c:v>
                </c:pt>
                <c:pt idx="5">
                  <c:v>0.781111</c:v>
                </c:pt>
                <c:pt idx="6">
                  <c:v>0.80075600000000002</c:v>
                </c:pt>
                <c:pt idx="7">
                  <c:v>0.80202099999999998</c:v>
                </c:pt>
                <c:pt idx="8" formatCode="General">
                  <c:v>0.70953999999999995</c:v>
                </c:pt>
                <c:pt idx="9" formatCode="General">
                  <c:v>0.66626700000000005</c:v>
                </c:pt>
                <c:pt idx="10" formatCode="General">
                  <c:v>0.77593900000000005</c:v>
                </c:pt>
                <c:pt idx="11" formatCode="General">
                  <c:v>0.67845599999999995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A5C-43A0-B4C6-6810529B3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356352"/>
        <c:axId val="1906003305"/>
      </c:lineChart>
      <c:catAx>
        <c:axId val="1079356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6003305"/>
        <c:crosses val="autoZero"/>
        <c:auto val="1"/>
        <c:lblAlgn val="ctr"/>
        <c:lblOffset val="100"/>
        <c:noMultiLvlLbl val="1"/>
      </c:catAx>
      <c:valAx>
        <c:axId val="19060033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935635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CHAOS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Sheet1!$A$130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Sheet1!$B$130:$M$130</c:f>
              <c:numCache>
                <c:formatCode>#,##0.00</c:formatCode>
                <c:ptCount val="12"/>
                <c:pt idx="0">
                  <c:v>6.0831000000000003E-2</c:v>
                </c:pt>
                <c:pt idx="1">
                  <c:v>5.9020000000000003E-2</c:v>
                </c:pt>
                <c:pt idx="2">
                  <c:v>5.3655000000000001E-2</c:v>
                </c:pt>
                <c:pt idx="3">
                  <c:v>5.7554000000000001E-2</c:v>
                </c:pt>
                <c:pt idx="4">
                  <c:v>6.1955000000000003E-2</c:v>
                </c:pt>
                <c:pt idx="5">
                  <c:v>6.5975000000000006E-2</c:v>
                </c:pt>
                <c:pt idx="6">
                  <c:v>5.8520000000000003E-2</c:v>
                </c:pt>
                <c:pt idx="7">
                  <c:v>5.8387000000000001E-2</c:v>
                </c:pt>
                <c:pt idx="8">
                  <c:v>6.0194999999999999E-2</c:v>
                </c:pt>
                <c:pt idx="9">
                  <c:v>5.9582999999999997E-2</c:v>
                </c:pt>
                <c:pt idx="10">
                  <c:v>6.4068E-2</c:v>
                </c:pt>
                <c:pt idx="11">
                  <c:v>6.7039000000000001E-2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61-429F-918A-8A4F770C8517}"/>
            </c:ext>
          </c:extLst>
        </c:ser>
        <c:ser>
          <c:idx val="1"/>
          <c:order val="1"/>
          <c:tx>
            <c:strRef>
              <c:f>Sheet1!$A$131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Sheet1!$B$131:$M$131</c:f>
              <c:numCache>
                <c:formatCode>#,##0.00</c:formatCode>
                <c:ptCount val="12"/>
                <c:pt idx="0">
                  <c:v>5.6848999999999997E-2</c:v>
                </c:pt>
                <c:pt idx="1">
                  <c:v>5.5732999999999998E-2</c:v>
                </c:pt>
                <c:pt idx="2">
                  <c:v>5.3755999999999998E-2</c:v>
                </c:pt>
                <c:pt idx="3">
                  <c:v>5.5565000000000003E-2</c:v>
                </c:pt>
                <c:pt idx="4">
                  <c:v>6.1941999999999997E-2</c:v>
                </c:pt>
                <c:pt idx="5">
                  <c:v>6.1203E-2</c:v>
                </c:pt>
                <c:pt idx="6">
                  <c:v>5.7882000000000003E-2</c:v>
                </c:pt>
                <c:pt idx="7">
                  <c:v>5.9676E-2</c:v>
                </c:pt>
                <c:pt idx="8">
                  <c:v>6.0505000000000003E-2</c:v>
                </c:pt>
                <c:pt idx="9">
                  <c:v>5.9781000000000001E-2</c:v>
                </c:pt>
                <c:pt idx="10">
                  <c:v>6.053E-2</c:v>
                </c:pt>
                <c:pt idx="11">
                  <c:v>6.3161999999999996E-2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61-429F-918A-8A4F770C8517}"/>
            </c:ext>
          </c:extLst>
        </c:ser>
        <c:ser>
          <c:idx val="2"/>
          <c:order val="2"/>
          <c:tx>
            <c:strRef>
              <c:f>Sheet1!$A$132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Sheet1!$B$132:$M$132</c:f>
              <c:numCache>
                <c:formatCode>#,##0.00</c:formatCode>
                <c:ptCount val="12"/>
                <c:pt idx="0">
                  <c:v>5.6290231441776598E-2</c:v>
                </c:pt>
                <c:pt idx="1">
                  <c:v>5.5101157156788601E-2</c:v>
                </c:pt>
                <c:pt idx="2">
                  <c:v>5.3489120686924699E-2</c:v>
                </c:pt>
                <c:pt idx="3">
                  <c:v>5.5019934323679298E-2</c:v>
                </c:pt>
                <c:pt idx="4">
                  <c:v>6.2506141072010801E-2</c:v>
                </c:pt>
                <c:pt idx="5">
                  <c:v>6.0440578922806902E-2</c:v>
                </c:pt>
                <c:pt idx="6">
                  <c:v>5.7836918074832003E-2</c:v>
                </c:pt>
                <c:pt idx="7">
                  <c:v>5.8355012982249301E-2</c:v>
                </c:pt>
                <c:pt idx="8">
                  <c:v>6.0423020386832303E-2</c:v>
                </c:pt>
                <c:pt idx="9">
                  <c:v>5.9831641345295603E-2</c:v>
                </c:pt>
                <c:pt idx="10">
                  <c:v>6.0385038124982401E-2</c:v>
                </c:pt>
                <c:pt idx="11">
                  <c:v>6.2401434693772302E-2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61-429F-918A-8A4F770C8517}"/>
            </c:ext>
          </c:extLst>
        </c:ser>
        <c:ser>
          <c:idx val="3"/>
          <c:order val="3"/>
          <c:tx>
            <c:strRef>
              <c:f>Sheet1!$A$133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Sheet1!$B$133:$M$133</c:f>
              <c:numCache>
                <c:formatCode>#,##0.00</c:formatCode>
                <c:ptCount val="12"/>
                <c:pt idx="0">
                  <c:v>5.6439361222223199E-2</c:v>
                </c:pt>
                <c:pt idx="1">
                  <c:v>5.5669212492440397E-2</c:v>
                </c:pt>
                <c:pt idx="2">
                  <c:v>5.39364970955553E-2</c:v>
                </c:pt>
                <c:pt idx="3">
                  <c:v>5.5030218522719498E-2</c:v>
                </c:pt>
                <c:pt idx="4">
                  <c:v>6.2609613275876705E-2</c:v>
                </c:pt>
                <c:pt idx="5">
                  <c:v>6.1859527667264602E-2</c:v>
                </c:pt>
                <c:pt idx="6">
                  <c:v>5.8204442072802301E-2</c:v>
                </c:pt>
                <c:pt idx="7">
                  <c:v>5.82125377145973E-2</c:v>
                </c:pt>
                <c:pt idx="8">
                  <c:v>6.0154551862192998E-2</c:v>
                </c:pt>
                <c:pt idx="9">
                  <c:v>6.0010831756969203E-2</c:v>
                </c:pt>
                <c:pt idx="10">
                  <c:v>6.1426494913737702E-2</c:v>
                </c:pt>
                <c:pt idx="11">
                  <c:v>6.2683817950761E-2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61-429F-918A-8A4F770C8517}"/>
            </c:ext>
          </c:extLst>
        </c:ser>
        <c:ser>
          <c:idx val="4"/>
          <c:order val="4"/>
          <c:tx>
            <c:strRef>
              <c:f>Sheet1!$A$134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Sheet1!$B$134:$M$134</c:f>
              <c:numCache>
                <c:formatCode>#,##0.00</c:formatCode>
                <c:ptCount val="12"/>
                <c:pt idx="0">
                  <c:v>5.8728000000000002E-2</c:v>
                </c:pt>
                <c:pt idx="1">
                  <c:v>5.7661999999999998E-2</c:v>
                </c:pt>
                <c:pt idx="2">
                  <c:v>5.6283E-2</c:v>
                </c:pt>
                <c:pt idx="3">
                  <c:v>5.8194999999999997E-2</c:v>
                </c:pt>
                <c:pt idx="4">
                  <c:v>6.5130999999999994E-2</c:v>
                </c:pt>
                <c:pt idx="5">
                  <c:v>6.4639000000000002E-2</c:v>
                </c:pt>
                <c:pt idx="6">
                  <c:v>6.0668E-2</c:v>
                </c:pt>
                <c:pt idx="7">
                  <c:v>6.0477999999999997E-2</c:v>
                </c:pt>
                <c:pt idx="8">
                  <c:v>6.1818999999999999E-2</c:v>
                </c:pt>
                <c:pt idx="9">
                  <c:v>6.2241999999999999E-2</c:v>
                </c:pt>
                <c:pt idx="10">
                  <c:v>6.2994999999999995E-2</c:v>
                </c:pt>
                <c:pt idx="11">
                  <c:v>6.4398999999999998E-2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61-429F-918A-8A4F770C8517}"/>
            </c:ext>
          </c:extLst>
        </c:ser>
        <c:ser>
          <c:idx val="5"/>
          <c:order val="5"/>
          <c:tx>
            <c:strRef>
              <c:f>Sheet1!$A$135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Sheet1!$B$135:$M$135</c:f>
              <c:numCache>
                <c:formatCode>#,##0.00</c:formatCode>
                <c:ptCount val="12"/>
                <c:pt idx="0">
                  <c:v>5.6387289266641501E-2</c:v>
                </c:pt>
                <c:pt idx="1">
                  <c:v>5.5075272157313802E-2</c:v>
                </c:pt>
                <c:pt idx="2">
                  <c:v>5.3751215376245103E-2</c:v>
                </c:pt>
                <c:pt idx="3">
                  <c:v>5.51345551616002E-2</c:v>
                </c:pt>
                <c:pt idx="4">
                  <c:v>6.11826882652775E-2</c:v>
                </c:pt>
                <c:pt idx="5">
                  <c:v>6.1319065127132297E-2</c:v>
                </c:pt>
                <c:pt idx="6">
                  <c:v>5.77392429871669E-2</c:v>
                </c:pt>
                <c:pt idx="7">
                  <c:v>5.9534346670189101E-2</c:v>
                </c:pt>
                <c:pt idx="8">
                  <c:v>6.05261216547388E-2</c:v>
                </c:pt>
                <c:pt idx="9">
                  <c:v>5.9780249152843697E-2</c:v>
                </c:pt>
                <c:pt idx="10">
                  <c:v>6.0344701020363101E-2</c:v>
                </c:pt>
                <c:pt idx="11">
                  <c:v>6.2424662489652602E-2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61-429F-918A-8A4F770C8517}"/>
            </c:ext>
          </c:extLst>
        </c:ser>
        <c:ser>
          <c:idx val="6"/>
          <c:order val="6"/>
          <c:tx>
            <c:strRef>
              <c:f>Sheet1!$A$136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Sheet1!$B$136:$M$136</c:f>
              <c:numCache>
                <c:formatCode>#,##0.00</c:formatCode>
                <c:ptCount val="12"/>
                <c:pt idx="0">
                  <c:v>5.6270000000000001E-2</c:v>
                </c:pt>
                <c:pt idx="1">
                  <c:v>5.5232000000000003E-2</c:v>
                </c:pt>
                <c:pt idx="2">
                  <c:v>5.3524000000000002E-2</c:v>
                </c:pt>
                <c:pt idx="3">
                  <c:v>5.5538999999999998E-2</c:v>
                </c:pt>
                <c:pt idx="4">
                  <c:v>6.1210000000000001E-2</c:v>
                </c:pt>
                <c:pt idx="5">
                  <c:v>6.0386000000000002E-2</c:v>
                </c:pt>
                <c:pt idx="6">
                  <c:v>5.7856999999999999E-2</c:v>
                </c:pt>
                <c:pt idx="7">
                  <c:v>6.0470000000000003E-2</c:v>
                </c:pt>
                <c:pt idx="8">
                  <c:v>5.9711E-2</c:v>
                </c:pt>
                <c:pt idx="9">
                  <c:v>5.9782000000000002E-2</c:v>
                </c:pt>
                <c:pt idx="10">
                  <c:v>6.0346999999999998E-2</c:v>
                </c:pt>
                <c:pt idx="11">
                  <c:v>6.2407999999999998E-2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61-429F-918A-8A4F770C8517}"/>
            </c:ext>
          </c:extLst>
        </c:ser>
        <c:ser>
          <c:idx val="7"/>
          <c:order val="7"/>
          <c:tx>
            <c:strRef>
              <c:f>Sheet1!$A$137</c:f>
              <c:strCache>
                <c:ptCount val="1"/>
                <c:pt idx="0">
                  <c:v>G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Sheet1!$B$137:$M$137</c:f>
              <c:numCache>
                <c:formatCode>#,##0.00</c:formatCode>
                <c:ptCount val="12"/>
                <c:pt idx="0">
                  <c:v>0.06</c:v>
                </c:pt>
                <c:pt idx="1">
                  <c:v>0</c:v>
                </c:pt>
                <c:pt idx="2">
                  <c:v>0.05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 formatCode="General">
                  <c:v>0.06</c:v>
                </c:pt>
                <c:pt idx="8" formatCode="General">
                  <c:v>0.06</c:v>
                </c:pt>
                <c:pt idx="9" formatCode="General">
                  <c:v>0.06</c:v>
                </c:pt>
                <c:pt idx="10" formatCode="General">
                  <c:v>0.06</c:v>
                </c:pt>
                <c:pt idx="11" formatCode="General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61-429F-918A-8A4F770C8517}"/>
            </c:ext>
          </c:extLst>
        </c:ser>
        <c:ser>
          <c:idx val="8"/>
          <c:order val="8"/>
          <c:tx>
            <c:strRef>
              <c:f>Sheet1!$A$138</c:f>
              <c:strCache>
                <c:ptCount val="1"/>
                <c:pt idx="0">
                  <c:v>IGNORE_THIS_1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Sheet1!$B$138:$M$138</c:f>
              <c:numCache>
                <c:formatCode>#,##0.00</c:formatCode>
                <c:ptCount val="12"/>
                <c:pt idx="0">
                  <c:v>5.6691999999999999E-2</c:v>
                </c:pt>
                <c:pt idx="1">
                  <c:v>5.5111E-2</c:v>
                </c:pt>
                <c:pt idx="2">
                  <c:v>5.3596999999999999E-2</c:v>
                </c:pt>
                <c:pt idx="3">
                  <c:v>5.5428999999999999E-2</c:v>
                </c:pt>
                <c:pt idx="4">
                  <c:v>6.1187999999999999E-2</c:v>
                </c:pt>
                <c:pt idx="5">
                  <c:v>6.0415999999999997E-2</c:v>
                </c:pt>
                <c:pt idx="6">
                  <c:v>5.7772999999999998E-2</c:v>
                </c:pt>
                <c:pt idx="7" formatCode="General">
                  <c:v>5.9737999999999999E-2</c:v>
                </c:pt>
                <c:pt idx="8" formatCode="General">
                  <c:v>6.0676000000000001E-2</c:v>
                </c:pt>
                <c:pt idx="9" formatCode="General">
                  <c:v>6.0214999999999998E-2</c:v>
                </c:pt>
                <c:pt idx="10" formatCode="General">
                  <c:v>6.0798999999999999E-2</c:v>
                </c:pt>
                <c:pt idx="11" formatCode="General">
                  <c:v>6.2467000000000002E-2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61-429F-918A-8A4F770C8517}"/>
            </c:ext>
          </c:extLst>
        </c:ser>
        <c:ser>
          <c:idx val="9"/>
          <c:order val="9"/>
          <c:tx>
            <c:strRef>
              <c:f>Sheet1!$A$139</c:f>
              <c:strCache>
                <c:ptCount val="1"/>
                <c:pt idx="0">
                  <c:v>GS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Sheet1!$B$139:$M$139</c:f>
              <c:numCache>
                <c:formatCode>#,##0.00</c:formatCode>
                <c:ptCount val="12"/>
                <c:pt idx="0">
                  <c:v>5.6390999999999997E-2</c:v>
                </c:pt>
                <c:pt idx="1">
                  <c:v>5.5474999999999997E-2</c:v>
                </c:pt>
                <c:pt idx="2">
                  <c:v>5.3505999999999998E-2</c:v>
                </c:pt>
                <c:pt idx="3">
                  <c:v>5.5199999999999999E-2</c:v>
                </c:pt>
                <c:pt idx="4">
                  <c:v>6.1226000000000003E-2</c:v>
                </c:pt>
                <c:pt idx="5">
                  <c:v>6.037E-2</c:v>
                </c:pt>
                <c:pt idx="6">
                  <c:v>5.7840999999999997E-2</c:v>
                </c:pt>
                <c:pt idx="7" formatCode="General">
                  <c:v>5.9817000000000002E-2</c:v>
                </c:pt>
                <c:pt idx="8" formatCode="General">
                  <c:v>6.0510000000000001E-2</c:v>
                </c:pt>
                <c:pt idx="9" formatCode="General">
                  <c:v>5.9858000000000001E-2</c:v>
                </c:pt>
                <c:pt idx="10" formatCode="General">
                  <c:v>6.0675E-2</c:v>
                </c:pt>
                <c:pt idx="11" formatCode="General">
                  <c:v>6.2406000000000003E-2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761-429F-918A-8A4F770C8517}"/>
            </c:ext>
          </c:extLst>
        </c:ser>
        <c:ser>
          <c:idx val="10"/>
          <c:order val="10"/>
          <c:tx>
            <c:strRef>
              <c:f>Sheet1!$A$140</c:f>
              <c:strCache>
                <c:ptCount val="1"/>
                <c:pt idx="0">
                  <c:v>I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Sheet1!$B$140:$M$140</c:f>
              <c:numCache>
                <c:formatCode>#,##0.00</c:formatCode>
                <c:ptCount val="12"/>
                <c:pt idx="0">
                  <c:v>5.6654999999999997E-2</c:v>
                </c:pt>
                <c:pt idx="1">
                  <c:v>5.5252999999999997E-2</c:v>
                </c:pt>
                <c:pt idx="2">
                  <c:v>5.3624999999999999E-2</c:v>
                </c:pt>
                <c:pt idx="3">
                  <c:v>5.5243E-2</c:v>
                </c:pt>
                <c:pt idx="4">
                  <c:v>6.1179999999999998E-2</c:v>
                </c:pt>
                <c:pt idx="5">
                  <c:v>6.0808000000000001E-2</c:v>
                </c:pt>
                <c:pt idx="6">
                  <c:v>5.7772999999999998E-2</c:v>
                </c:pt>
                <c:pt idx="7" formatCode="General">
                  <c:v>5.9581000000000002E-2</c:v>
                </c:pt>
                <c:pt idx="8" formatCode="General">
                  <c:v>6.1006999999999999E-2</c:v>
                </c:pt>
                <c:pt idx="9" formatCode="General">
                  <c:v>6.0262999999999997E-2</c:v>
                </c:pt>
                <c:pt idx="10" formatCode="General">
                  <c:v>6.0513999999999998E-2</c:v>
                </c:pt>
                <c:pt idx="11" formatCode="General">
                  <c:v>6.2747999999999998E-2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761-429F-918A-8A4F770C8517}"/>
            </c:ext>
          </c:extLst>
        </c:ser>
        <c:ser>
          <c:idx val="11"/>
          <c:order val="11"/>
          <c:tx>
            <c:strRef>
              <c:f>Sheet1!$A$141</c:f>
              <c:strCache>
                <c:ptCount val="1"/>
                <c:pt idx="0">
                  <c:v>IG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Sheet1!$B$141:$M$141</c:f>
              <c:numCache>
                <c:formatCode>#,##0.00</c:formatCode>
                <c:ptCount val="12"/>
                <c:pt idx="0">
                  <c:v>5.6315999999999998E-2</c:v>
                </c:pt>
                <c:pt idx="1">
                  <c:v>5.5239000000000003E-2</c:v>
                </c:pt>
                <c:pt idx="2">
                  <c:v>5.3517000000000002E-2</c:v>
                </c:pt>
                <c:pt idx="3">
                  <c:v>5.5166E-2</c:v>
                </c:pt>
                <c:pt idx="4">
                  <c:v>6.1787000000000002E-2</c:v>
                </c:pt>
                <c:pt idx="5">
                  <c:v>6.0528999999999999E-2</c:v>
                </c:pt>
                <c:pt idx="6">
                  <c:v>5.8090999999999997E-2</c:v>
                </c:pt>
                <c:pt idx="7" formatCode="General">
                  <c:v>5.9519000000000002E-2</c:v>
                </c:pt>
                <c:pt idx="8" formatCode="General">
                  <c:v>6.0684000000000002E-2</c:v>
                </c:pt>
                <c:pt idx="9" formatCode="General">
                  <c:v>6.0159999999999998E-2</c:v>
                </c:pt>
                <c:pt idx="10" formatCode="General">
                  <c:v>6.0463000000000003E-2</c:v>
                </c:pt>
                <c:pt idx="11" formatCode="General">
                  <c:v>6.2616000000000005E-2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761-429F-918A-8A4F770C8517}"/>
            </c:ext>
          </c:extLst>
        </c:ser>
        <c:ser>
          <c:idx val="12"/>
          <c:order val="12"/>
          <c:tx>
            <c:strRef>
              <c:f>Sheet1!$A$142</c:f>
              <c:strCache>
                <c:ptCount val="1"/>
                <c:pt idx="0">
                  <c:v>IS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Sheet1!$B$142:$M$142</c:f>
              <c:numCache>
                <c:formatCode>#,##0.00</c:formatCode>
                <c:ptCount val="12"/>
                <c:pt idx="0">
                  <c:v>5.6311E-2</c:v>
                </c:pt>
                <c:pt idx="1">
                  <c:v>5.5159E-2</c:v>
                </c:pt>
                <c:pt idx="2">
                  <c:v>5.3664000000000003E-2</c:v>
                </c:pt>
                <c:pt idx="3">
                  <c:v>5.5188000000000001E-2</c:v>
                </c:pt>
                <c:pt idx="4">
                  <c:v>6.1293E-2</c:v>
                </c:pt>
                <c:pt idx="5">
                  <c:v>6.0700999999999998E-2</c:v>
                </c:pt>
                <c:pt idx="6">
                  <c:v>5.7832000000000001E-2</c:v>
                </c:pt>
                <c:pt idx="7" formatCode="General">
                  <c:v>6.0340999999999999E-2</c:v>
                </c:pt>
                <c:pt idx="8" formatCode="General">
                  <c:v>6.1475000000000002E-2</c:v>
                </c:pt>
                <c:pt idx="9" formatCode="General">
                  <c:v>6.0156000000000001E-2</c:v>
                </c:pt>
                <c:pt idx="10" formatCode="General">
                  <c:v>6.1178000000000003E-2</c:v>
                </c:pt>
                <c:pt idx="11" formatCode="General">
                  <c:v>6.2923999999999994E-2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761-429F-918A-8A4F770C8517}"/>
            </c:ext>
          </c:extLst>
        </c:ser>
        <c:ser>
          <c:idx val="13"/>
          <c:order val="13"/>
          <c:tx>
            <c:strRef>
              <c:f>Sheet1!$A$143</c:f>
              <c:strCache>
                <c:ptCount val="1"/>
                <c:pt idx="0">
                  <c:v>IGS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Sheet1!$B$143:$M$143</c:f>
              <c:numCache>
                <c:formatCode>#,##0.00</c:formatCode>
                <c:ptCount val="12"/>
                <c:pt idx="0">
                  <c:v>5.7171E-2</c:v>
                </c:pt>
                <c:pt idx="1">
                  <c:v>5.5171999999999999E-2</c:v>
                </c:pt>
                <c:pt idx="2">
                  <c:v>5.3555999999999999E-2</c:v>
                </c:pt>
                <c:pt idx="3">
                  <c:v>5.5156999999999998E-2</c:v>
                </c:pt>
                <c:pt idx="4">
                  <c:v>6.1180999999999999E-2</c:v>
                </c:pt>
                <c:pt idx="5">
                  <c:v>6.0983999999999997E-2</c:v>
                </c:pt>
                <c:pt idx="6">
                  <c:v>5.7944000000000002E-2</c:v>
                </c:pt>
                <c:pt idx="7" formatCode="General">
                  <c:v>6.0868999999999999E-2</c:v>
                </c:pt>
                <c:pt idx="8" formatCode="General">
                  <c:v>6.0644999999999998E-2</c:v>
                </c:pt>
                <c:pt idx="9" formatCode="General">
                  <c:v>6.0297000000000003E-2</c:v>
                </c:pt>
                <c:pt idx="10" formatCode="General">
                  <c:v>6.1094000000000002E-2</c:v>
                </c:pt>
                <c:pt idx="11" formatCode="General">
                  <c:v>6.2594999999999998E-2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761-429F-918A-8A4F770C8517}"/>
            </c:ext>
          </c:extLst>
        </c:ser>
        <c:ser>
          <c:idx val="14"/>
          <c:order val="14"/>
          <c:tx>
            <c:strRef>
              <c:f>Sheet1!$A$144</c:f>
              <c:strCache>
                <c:ptCount val="1"/>
                <c:pt idx="0">
                  <c:v>GSD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Sheet1!$B$144:$M$144</c:f>
              <c:numCache>
                <c:formatCode>#,##0.00</c:formatCode>
                <c:ptCount val="12"/>
                <c:pt idx="0">
                  <c:v>5.6522000000000003E-2</c:v>
                </c:pt>
                <c:pt idx="1">
                  <c:v>5.5147000000000002E-2</c:v>
                </c:pt>
                <c:pt idx="2">
                  <c:v>5.4036000000000001E-2</c:v>
                </c:pt>
                <c:pt idx="3">
                  <c:v>5.5354E-2</c:v>
                </c:pt>
                <c:pt idx="4">
                  <c:v>6.1261999999999997E-2</c:v>
                </c:pt>
                <c:pt idx="5">
                  <c:v>6.0352000000000003E-2</c:v>
                </c:pt>
                <c:pt idx="6">
                  <c:v>5.7824E-2</c:v>
                </c:pt>
                <c:pt idx="7" formatCode="General">
                  <c:v>5.9859999999999997E-2</c:v>
                </c:pt>
                <c:pt idx="8" formatCode="General">
                  <c:v>6.0474E-2</c:v>
                </c:pt>
                <c:pt idx="9" formatCode="General">
                  <c:v>6.0068999999999997E-2</c:v>
                </c:pt>
                <c:pt idx="10" formatCode="General">
                  <c:v>6.0363E-2</c:v>
                </c:pt>
                <c:pt idx="11" formatCode="General">
                  <c:v>6.2336000000000003E-2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761-429F-918A-8A4F770C8517}"/>
            </c:ext>
          </c:extLst>
        </c:ser>
        <c:ser>
          <c:idx val="15"/>
          <c:order val="15"/>
          <c:tx>
            <c:strRef>
              <c:f>Sheet1!$A$145</c:f>
              <c:strCache>
                <c:ptCount val="1"/>
                <c:pt idx="0">
                  <c:v>IGNORE_THIS_2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Sheet1!$B$145:$M$145</c:f>
              <c:numCache>
                <c:formatCode>#,##0.00</c:formatCode>
                <c:ptCount val="12"/>
                <c:pt idx="0">
                  <c:v>5.6256E-2</c:v>
                </c:pt>
                <c:pt idx="1">
                  <c:v>5.5072999999999997E-2</c:v>
                </c:pt>
                <c:pt idx="2">
                  <c:v>5.3497000000000003E-2</c:v>
                </c:pt>
                <c:pt idx="3">
                  <c:v>5.5134000000000002E-2</c:v>
                </c:pt>
                <c:pt idx="4">
                  <c:v>6.1384000000000001E-2</c:v>
                </c:pt>
                <c:pt idx="5">
                  <c:v>6.0373000000000003E-2</c:v>
                </c:pt>
                <c:pt idx="6">
                  <c:v>5.7741000000000001E-2</c:v>
                </c:pt>
                <c:pt idx="7" formatCode="General">
                  <c:v>6.0199000000000003E-2</c:v>
                </c:pt>
                <c:pt idx="8" formatCode="General">
                  <c:v>6.0684000000000002E-2</c:v>
                </c:pt>
                <c:pt idx="9" formatCode="General">
                  <c:v>5.9748999999999997E-2</c:v>
                </c:pt>
                <c:pt idx="10" formatCode="General">
                  <c:v>6.0323000000000002E-2</c:v>
                </c:pt>
                <c:pt idx="11" formatCode="General">
                  <c:v>6.2351999999999998E-2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761-429F-918A-8A4F770C8517}"/>
            </c:ext>
          </c:extLst>
        </c:ser>
        <c:ser>
          <c:idx val="16"/>
          <c:order val="16"/>
          <c:tx>
            <c:strRef>
              <c:f>Sheet1!$A$146</c:f>
              <c:strCache>
                <c:ptCount val="1"/>
                <c:pt idx="0">
                  <c:v>GD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Sheet1!$B$146:$M$146</c:f>
              <c:numCache>
                <c:formatCode>#,##0.00</c:formatCode>
                <c:ptCount val="12"/>
                <c:pt idx="0">
                  <c:v>5.6304E-2</c:v>
                </c:pt>
                <c:pt idx="1">
                  <c:v>5.5258000000000002E-2</c:v>
                </c:pt>
                <c:pt idx="2">
                  <c:v>5.3677000000000002E-2</c:v>
                </c:pt>
                <c:pt idx="3">
                  <c:v>5.5614999999999998E-2</c:v>
                </c:pt>
                <c:pt idx="4">
                  <c:v>6.1206999999999998E-2</c:v>
                </c:pt>
                <c:pt idx="5">
                  <c:v>6.0354999999999999E-2</c:v>
                </c:pt>
                <c:pt idx="6">
                  <c:v>5.7846000000000002E-2</c:v>
                </c:pt>
                <c:pt idx="7" formatCode="General">
                  <c:v>5.9561999999999997E-2</c:v>
                </c:pt>
                <c:pt idx="8" formatCode="General">
                  <c:v>6.0479999999999999E-2</c:v>
                </c:pt>
                <c:pt idx="9" formatCode="General">
                  <c:v>5.9840999999999998E-2</c:v>
                </c:pt>
                <c:pt idx="10" formatCode="General">
                  <c:v>6.0628000000000001E-2</c:v>
                </c:pt>
                <c:pt idx="11" formatCode="General">
                  <c:v>6.2518000000000004E-2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761-429F-918A-8A4F770C8517}"/>
            </c:ext>
          </c:extLst>
        </c:ser>
        <c:ser>
          <c:idx val="17"/>
          <c:order val="17"/>
          <c:tx>
            <c:strRef>
              <c:f>Sheet1!$A$147</c:f>
              <c:strCache>
                <c:ptCount val="1"/>
                <c:pt idx="0">
                  <c:v>GN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Sheet1!$B$147:$M$147</c:f>
              <c:numCache>
                <c:formatCode>#,##0.00</c:formatCode>
                <c:ptCount val="12"/>
                <c:pt idx="0">
                  <c:v>5.6474000000000003E-2</c:v>
                </c:pt>
                <c:pt idx="1">
                  <c:v>5.5199999999999999E-2</c:v>
                </c:pt>
                <c:pt idx="2">
                  <c:v>5.3624999999999999E-2</c:v>
                </c:pt>
                <c:pt idx="3">
                  <c:v>5.5209000000000001E-2</c:v>
                </c:pt>
                <c:pt idx="4">
                  <c:v>6.1206999999999998E-2</c:v>
                </c:pt>
                <c:pt idx="5">
                  <c:v>6.0462000000000002E-2</c:v>
                </c:pt>
                <c:pt idx="6">
                  <c:v>5.781E-2</c:v>
                </c:pt>
                <c:pt idx="7" formatCode="General">
                  <c:v>5.9590999999999998E-2</c:v>
                </c:pt>
                <c:pt idx="8" formatCode="General">
                  <c:v>6.0470999999999997E-2</c:v>
                </c:pt>
                <c:pt idx="9" formatCode="General">
                  <c:v>5.9781000000000001E-2</c:v>
                </c:pt>
                <c:pt idx="10" formatCode="General">
                  <c:v>6.0344000000000002E-2</c:v>
                </c:pt>
                <c:pt idx="11" formatCode="General">
                  <c:v>6.2376000000000001E-2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761-429F-918A-8A4F770C8517}"/>
            </c:ext>
          </c:extLst>
        </c:ser>
        <c:ser>
          <c:idx val="18"/>
          <c:order val="18"/>
          <c:tx>
            <c:strRef>
              <c:f>Sheet1!$A$148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Sheet1!$B$148:$M$148</c:f>
              <c:numCache>
                <c:formatCode>#,##0.00</c:formatCode>
                <c:ptCount val="12"/>
                <c:pt idx="0">
                  <c:v>5.6522000000000003E-2</c:v>
                </c:pt>
                <c:pt idx="1">
                  <c:v>5.5239999999999997E-2</c:v>
                </c:pt>
                <c:pt idx="2">
                  <c:v>5.3520999999999999E-2</c:v>
                </c:pt>
                <c:pt idx="3">
                  <c:v>5.5257000000000001E-2</c:v>
                </c:pt>
                <c:pt idx="4">
                  <c:v>6.1206000000000003E-2</c:v>
                </c:pt>
                <c:pt idx="5">
                  <c:v>6.0366999999999997E-2</c:v>
                </c:pt>
                <c:pt idx="6">
                  <c:v>5.7818000000000001E-2</c:v>
                </c:pt>
                <c:pt idx="7" formatCode="General">
                  <c:v>5.9611999999999998E-2</c:v>
                </c:pt>
                <c:pt idx="8" formatCode="General">
                  <c:v>6.0469000000000002E-2</c:v>
                </c:pt>
                <c:pt idx="9" formatCode="General">
                  <c:v>5.9864000000000001E-2</c:v>
                </c:pt>
                <c:pt idx="10" formatCode="General">
                  <c:v>6.0718000000000001E-2</c:v>
                </c:pt>
                <c:pt idx="11" formatCode="General">
                  <c:v>6.2391000000000002E-2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761-429F-918A-8A4F770C8517}"/>
            </c:ext>
          </c:extLst>
        </c:ser>
        <c:ser>
          <c:idx val="19"/>
          <c:order val="19"/>
          <c:tx>
            <c:strRef>
              <c:f>Sheet1!$A$149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Sheet1!$B$149:$M$149</c:f>
              <c:numCache>
                <c:formatCode>#,##0.00</c:formatCode>
                <c:ptCount val="12"/>
                <c:pt idx="0">
                  <c:v>5.6412999999999998E-2</c:v>
                </c:pt>
                <c:pt idx="1">
                  <c:v>5.5515000000000002E-2</c:v>
                </c:pt>
                <c:pt idx="2">
                  <c:v>5.3788999999999997E-2</c:v>
                </c:pt>
                <c:pt idx="3">
                  <c:v>5.5660000000000001E-2</c:v>
                </c:pt>
                <c:pt idx="4">
                  <c:v>6.1373999999999998E-2</c:v>
                </c:pt>
                <c:pt idx="5">
                  <c:v>6.0356E-2</c:v>
                </c:pt>
                <c:pt idx="6">
                  <c:v>5.7813000000000003E-2</c:v>
                </c:pt>
                <c:pt idx="7" formatCode="General">
                  <c:v>5.9533999999999997E-2</c:v>
                </c:pt>
                <c:pt idx="8" formatCode="General">
                  <c:v>6.0470000000000003E-2</c:v>
                </c:pt>
                <c:pt idx="9" formatCode="General">
                  <c:v>5.9964999999999997E-2</c:v>
                </c:pt>
                <c:pt idx="10" formatCode="General">
                  <c:v>6.0360999999999998E-2</c:v>
                </c:pt>
                <c:pt idx="11" formatCode="General">
                  <c:v>6.2814999999999996E-2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761-429F-918A-8A4F770C8517}"/>
            </c:ext>
          </c:extLst>
        </c:ser>
        <c:ser>
          <c:idx val="20"/>
          <c:order val="20"/>
          <c:tx>
            <c:strRef>
              <c:f>Sheet1!$A$150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Sheet1!$B$129:$M$129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Sheet1!$B$150:$M$150</c:f>
              <c:numCache>
                <c:formatCode>#,##0.00</c:formatCode>
                <c:ptCount val="12"/>
                <c:pt idx="0">
                  <c:v>5.6605000000000003E-2</c:v>
                </c:pt>
                <c:pt idx="1">
                  <c:v>5.5195000000000001E-2</c:v>
                </c:pt>
                <c:pt idx="2">
                  <c:v>5.3666999999999999E-2</c:v>
                </c:pt>
                <c:pt idx="3">
                  <c:v>5.5225999999999997E-2</c:v>
                </c:pt>
                <c:pt idx="4">
                  <c:v>6.1209E-2</c:v>
                </c:pt>
                <c:pt idx="5">
                  <c:v>6.0395999999999998E-2</c:v>
                </c:pt>
                <c:pt idx="6">
                  <c:v>5.8355999999999998E-2</c:v>
                </c:pt>
                <c:pt idx="7" formatCode="General">
                  <c:v>5.9624000000000003E-2</c:v>
                </c:pt>
                <c:pt idx="8" formatCode="General">
                  <c:v>6.0468000000000001E-2</c:v>
                </c:pt>
                <c:pt idx="9" formatCode="General">
                  <c:v>5.9894000000000003E-2</c:v>
                </c:pt>
                <c:pt idx="10" formatCode="General">
                  <c:v>6.0294E-2</c:v>
                </c:pt>
                <c:pt idx="11" formatCode="General">
                  <c:v>6.3842999999999997E-2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761-429F-918A-8A4F770C8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1373081"/>
        <c:axId val="959823591"/>
      </c:lineChart>
      <c:catAx>
        <c:axId val="681373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9823591"/>
        <c:crosses val="autoZero"/>
        <c:auto val="1"/>
        <c:lblAlgn val="ctr"/>
        <c:lblOffset val="100"/>
        <c:noMultiLvlLbl val="1"/>
      </c:catAx>
      <c:valAx>
        <c:axId val="959823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13730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PAS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Sheet1!$A$164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Sheet1!$B$164:$M$164</c:f>
              <c:numCache>
                <c:formatCode>#,##0.00</c:formatCode>
                <c:ptCount val="12"/>
                <c:pt idx="0">
                  <c:v>0.30856600000000001</c:v>
                </c:pt>
                <c:pt idx="1">
                  <c:v>0.23677000000000001</c:v>
                </c:pt>
                <c:pt idx="2">
                  <c:v>4.3642E-2</c:v>
                </c:pt>
                <c:pt idx="3">
                  <c:v>0.19011700000000001</c:v>
                </c:pt>
                <c:pt idx="4">
                  <c:v>7.2385000000000005E-2</c:v>
                </c:pt>
                <c:pt idx="5">
                  <c:v>0.19754099999999999</c:v>
                </c:pt>
                <c:pt idx="6">
                  <c:v>9.0510999999999994E-2</c:v>
                </c:pt>
                <c:pt idx="7">
                  <c:v>5.7534000000000002E-2</c:v>
                </c:pt>
                <c:pt idx="8">
                  <c:v>3.9296999999999999E-2</c:v>
                </c:pt>
                <c:pt idx="9">
                  <c:v>2.8587000000000001E-2</c:v>
                </c:pt>
                <c:pt idx="10">
                  <c:v>0.14003299999999999</c:v>
                </c:pt>
                <c:pt idx="11">
                  <c:v>0.218497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6-4CA8-9D42-FCE1E63BD785}"/>
            </c:ext>
          </c:extLst>
        </c:ser>
        <c:ser>
          <c:idx val="1"/>
          <c:order val="1"/>
          <c:tx>
            <c:strRef>
              <c:f>Sheet1!$A$165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Sheet1!$B$165:$M$165</c:f>
              <c:numCache>
                <c:formatCode>#,##0.00</c:formatCode>
                <c:ptCount val="12"/>
                <c:pt idx="0">
                  <c:v>6.5861000000000003E-2</c:v>
                </c:pt>
                <c:pt idx="1">
                  <c:v>5.2042999999999999E-2</c:v>
                </c:pt>
                <c:pt idx="2">
                  <c:v>5.2631999999999998E-2</c:v>
                </c:pt>
                <c:pt idx="3">
                  <c:v>5.0054000000000001E-2</c:v>
                </c:pt>
                <c:pt idx="4">
                  <c:v>3.9878999999999998E-2</c:v>
                </c:pt>
                <c:pt idx="5">
                  <c:v>9.0700000000000003E-2</c:v>
                </c:pt>
                <c:pt idx="6">
                  <c:v>4.9841000000000003E-2</c:v>
                </c:pt>
                <c:pt idx="7">
                  <c:v>4.7324999999999999E-2</c:v>
                </c:pt>
                <c:pt idx="8">
                  <c:v>3.2400999999999999E-2</c:v>
                </c:pt>
                <c:pt idx="9">
                  <c:v>2.7785000000000001E-2</c:v>
                </c:pt>
                <c:pt idx="10">
                  <c:v>4.4867999999999998E-2</c:v>
                </c:pt>
                <c:pt idx="11">
                  <c:v>7.4321999999999999E-2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C6-4CA8-9D42-FCE1E63BD785}"/>
            </c:ext>
          </c:extLst>
        </c:ser>
        <c:ser>
          <c:idx val="2"/>
          <c:order val="2"/>
          <c:tx>
            <c:strRef>
              <c:f>Sheet1!$A$166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Sheet1!$B$166:$M$166</c:f>
              <c:numCache>
                <c:formatCode>#,##0.00</c:formatCode>
                <c:ptCount val="12"/>
                <c:pt idx="0">
                  <c:v>1.4907714150496E-2</c:v>
                </c:pt>
                <c:pt idx="1">
                  <c:v>1.9388686131386001E-2</c:v>
                </c:pt>
                <c:pt idx="2">
                  <c:v>1.9837126748798999E-2</c:v>
                </c:pt>
                <c:pt idx="3">
                  <c:v>2.2658610271902999E-2</c:v>
                </c:pt>
                <c:pt idx="4">
                  <c:v>2.9773285987434998E-2</c:v>
                </c:pt>
                <c:pt idx="5">
                  <c:v>2.7444253859348001E-2</c:v>
                </c:pt>
                <c:pt idx="6">
                  <c:v>1.4841849148418001E-2</c:v>
                </c:pt>
                <c:pt idx="7">
                  <c:v>2.6899128268991001E-2</c:v>
                </c:pt>
                <c:pt idx="8">
                  <c:v>2.5281670788678001E-2</c:v>
                </c:pt>
                <c:pt idx="9">
                  <c:v>3.5665668390960997E-2</c:v>
                </c:pt>
                <c:pt idx="10">
                  <c:v>2.0044543429843999E-2</c:v>
                </c:pt>
                <c:pt idx="11">
                  <c:v>2.3988439306357998E-2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C6-4CA8-9D42-FCE1E63BD785}"/>
            </c:ext>
          </c:extLst>
        </c:ser>
        <c:ser>
          <c:idx val="3"/>
          <c:order val="3"/>
          <c:tx>
            <c:strRef>
              <c:f>Sheet1!$A$167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Sheet1!$B$167:$M$167</c:f>
              <c:numCache>
                <c:formatCode>#,##0.00</c:formatCode>
                <c:ptCount val="12"/>
                <c:pt idx="0">
                  <c:v>3.9044013251301003E-2</c:v>
                </c:pt>
                <c:pt idx="1">
                  <c:v>3.3987226277372003E-2</c:v>
                </c:pt>
                <c:pt idx="2">
                  <c:v>4.0509500939652998E-2</c:v>
                </c:pt>
                <c:pt idx="3">
                  <c:v>3.6685369011653E-2</c:v>
                </c:pt>
                <c:pt idx="4">
                  <c:v>4.4250204862059002E-2</c:v>
                </c:pt>
                <c:pt idx="5">
                  <c:v>3.9736992567181002E-2</c:v>
                </c:pt>
                <c:pt idx="6">
                  <c:v>3.4306569343065002E-2</c:v>
                </c:pt>
                <c:pt idx="7">
                  <c:v>4.5579078455789998E-2</c:v>
                </c:pt>
                <c:pt idx="8">
                  <c:v>3.1052486946962998E-2</c:v>
                </c:pt>
                <c:pt idx="9">
                  <c:v>3.2398584263544E-2</c:v>
                </c:pt>
                <c:pt idx="10">
                  <c:v>3.1180400890868001E-2</c:v>
                </c:pt>
                <c:pt idx="11">
                  <c:v>3.9017341040461999E-2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C6-4CA8-9D42-FCE1E63BD785}"/>
            </c:ext>
          </c:extLst>
        </c:ser>
        <c:ser>
          <c:idx val="4"/>
          <c:order val="4"/>
          <c:tx>
            <c:strRef>
              <c:f>Sheet1!$A$168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Sheet1!$B$168:$M$168</c:f>
              <c:numCache>
                <c:formatCode>#,##0.00</c:formatCode>
                <c:ptCount val="12"/>
                <c:pt idx="0">
                  <c:v>0.124704</c:v>
                </c:pt>
                <c:pt idx="1">
                  <c:v>0.13366800000000001</c:v>
                </c:pt>
                <c:pt idx="2">
                  <c:v>0.15055299999999999</c:v>
                </c:pt>
                <c:pt idx="3">
                  <c:v>0.17199</c:v>
                </c:pt>
                <c:pt idx="4">
                  <c:v>0.136848</c:v>
                </c:pt>
                <c:pt idx="5">
                  <c:v>0.16180700000000001</c:v>
                </c:pt>
                <c:pt idx="6">
                  <c:v>0.14136299999999999</c:v>
                </c:pt>
                <c:pt idx="7">
                  <c:v>0.115816</c:v>
                </c:pt>
                <c:pt idx="8">
                  <c:v>8.3814E-2</c:v>
                </c:pt>
                <c:pt idx="9">
                  <c:v>9.7739999999999994E-2</c:v>
                </c:pt>
                <c:pt idx="10">
                  <c:v>0.14560100000000001</c:v>
                </c:pt>
                <c:pt idx="11">
                  <c:v>0.110694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C6-4CA8-9D42-FCE1E63BD785}"/>
            </c:ext>
          </c:extLst>
        </c:ser>
        <c:ser>
          <c:idx val="5"/>
          <c:order val="5"/>
          <c:tx>
            <c:strRef>
              <c:f>Sheet1!$A$169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Sheet1!$B$169:$M$169</c:f>
              <c:numCache>
                <c:formatCode>#,##0.00</c:formatCode>
                <c:ptCount val="12"/>
                <c:pt idx="0">
                  <c:v>9.7133380715470202E-3</c:v>
                </c:pt>
                <c:pt idx="1">
                  <c:v>1.3467244921250799E-2</c:v>
                </c:pt>
                <c:pt idx="2">
                  <c:v>1.4619883040935601E-2</c:v>
                </c:pt>
                <c:pt idx="3">
                  <c:v>8.9227421109902005E-3</c:v>
                </c:pt>
                <c:pt idx="4">
                  <c:v>1.12761276127612E-2</c:v>
                </c:pt>
                <c:pt idx="5">
                  <c:v>1.57864523536165E-2</c:v>
                </c:pt>
                <c:pt idx="6">
                  <c:v>1.5392132909846E-2</c:v>
                </c:pt>
                <c:pt idx="7">
                  <c:v>1.51748971193415E-2</c:v>
                </c:pt>
                <c:pt idx="8">
                  <c:v>2.10468014400443E-2</c:v>
                </c:pt>
                <c:pt idx="9">
                  <c:v>1.7331499312242E-2</c:v>
                </c:pt>
                <c:pt idx="10">
                  <c:v>2.4397083567021801E-2</c:v>
                </c:pt>
                <c:pt idx="11">
                  <c:v>2.2150976391722501E-2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C6-4CA8-9D42-FCE1E63BD785}"/>
            </c:ext>
          </c:extLst>
        </c:ser>
        <c:ser>
          <c:idx val="6"/>
          <c:order val="6"/>
          <c:tx>
            <c:strRef>
              <c:f>Sheet1!$A$170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Sheet1!$B$170:$M$170</c:f>
              <c:numCache>
                <c:formatCode>#,##0.00</c:formatCode>
                <c:ptCount val="12"/>
                <c:pt idx="0">
                  <c:v>1.8005E-2</c:v>
                </c:pt>
                <c:pt idx="1">
                  <c:v>3.3326000000000001E-2</c:v>
                </c:pt>
                <c:pt idx="2">
                  <c:v>1.1487000000000001E-2</c:v>
                </c:pt>
                <c:pt idx="3">
                  <c:v>2.0674999999999999E-2</c:v>
                </c:pt>
                <c:pt idx="4">
                  <c:v>1.8152000000000001E-2</c:v>
                </c:pt>
                <c:pt idx="5">
                  <c:v>1.5212E-2</c:v>
                </c:pt>
                <c:pt idx="6">
                  <c:v>2.8341000000000002E-2</c:v>
                </c:pt>
                <c:pt idx="7">
                  <c:v>1.3292999999999999E-2</c:v>
                </c:pt>
                <c:pt idx="8">
                  <c:v>2.5463E-2</c:v>
                </c:pt>
                <c:pt idx="9">
                  <c:v>1.5681E-2</c:v>
                </c:pt>
                <c:pt idx="10">
                  <c:v>2.4677999999999999E-2</c:v>
                </c:pt>
                <c:pt idx="11">
                  <c:v>2.4774000000000001E-2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C6-4CA8-9D42-FCE1E63BD785}"/>
            </c:ext>
          </c:extLst>
        </c:ser>
        <c:ser>
          <c:idx val="7"/>
          <c:order val="7"/>
          <c:tx>
            <c:strRef>
              <c:f>Sheet1!$A$171</c:f>
              <c:strCache>
                <c:ptCount val="1"/>
                <c:pt idx="0">
                  <c:v>G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Sheet1!$B$171:$M$171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0.01</c:v>
                </c:pt>
                <c:pt idx="4">
                  <c:v>0.02</c:v>
                </c:pt>
                <c:pt idx="5">
                  <c:v>0.01</c:v>
                </c:pt>
                <c:pt idx="6">
                  <c:v>0.02</c:v>
                </c:pt>
                <c:pt idx="7">
                  <c:v>0.01</c:v>
                </c:pt>
                <c:pt idx="8" formatCode="General">
                  <c:v>0.01</c:v>
                </c:pt>
                <c:pt idx="9" formatCode="General">
                  <c:v>0.01</c:v>
                </c:pt>
                <c:pt idx="10" formatCode="General">
                  <c:v>0.01</c:v>
                </c:pt>
                <c:pt idx="11" formatCode="General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C6-4CA8-9D42-FCE1E63BD785}"/>
            </c:ext>
          </c:extLst>
        </c:ser>
        <c:ser>
          <c:idx val="8"/>
          <c:order val="8"/>
          <c:tx>
            <c:strRef>
              <c:f>Sheet1!$A$172</c:f>
              <c:strCache>
                <c:ptCount val="1"/>
                <c:pt idx="0">
                  <c:v>IGNORE_THIS_1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Sheet1!$B$172:$M$172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2.4652E-2</c:v>
                </c:pt>
                <c:pt idx="2">
                  <c:v>1.7335E-2</c:v>
                </c:pt>
                <c:pt idx="3">
                  <c:v>3.8738000000000002E-2</c:v>
                </c:pt>
                <c:pt idx="4">
                  <c:v>2.1727E-2</c:v>
                </c:pt>
                <c:pt idx="5">
                  <c:v>2.0379000000000001E-2</c:v>
                </c:pt>
                <c:pt idx="6">
                  <c:v>1.4171E-2</c:v>
                </c:pt>
                <c:pt idx="7">
                  <c:v>1.6975000000000001E-2</c:v>
                </c:pt>
                <c:pt idx="8" formatCode="General">
                  <c:v>2.1323999999999999E-2</c:v>
                </c:pt>
                <c:pt idx="9" formatCode="General">
                  <c:v>2.1183E-2</c:v>
                </c:pt>
                <c:pt idx="10" formatCode="General">
                  <c:v>1.8228000000000001E-2</c:v>
                </c:pt>
                <c:pt idx="11" formatCode="General">
                  <c:v>2.6231000000000001E-2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C6-4CA8-9D42-FCE1E63BD785}"/>
            </c:ext>
          </c:extLst>
        </c:ser>
        <c:ser>
          <c:idx val="9"/>
          <c:order val="9"/>
          <c:tx>
            <c:strRef>
              <c:f>Sheet1!$A$173</c:f>
              <c:strCache>
                <c:ptCount val="1"/>
                <c:pt idx="0">
                  <c:v>GS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Sheet1!$B$173:$M$173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2.5107999999999998E-2</c:v>
                </c:pt>
                <c:pt idx="2">
                  <c:v>1.2949E-2</c:v>
                </c:pt>
                <c:pt idx="3">
                  <c:v>2.0892000000000001E-2</c:v>
                </c:pt>
                <c:pt idx="4">
                  <c:v>1.7877000000000001E-2</c:v>
                </c:pt>
                <c:pt idx="5">
                  <c:v>1.9231000000000002E-2</c:v>
                </c:pt>
                <c:pt idx="6">
                  <c:v>1.5636000000000001E-2</c:v>
                </c:pt>
                <c:pt idx="7">
                  <c:v>1.1317000000000001E-2</c:v>
                </c:pt>
                <c:pt idx="8" formatCode="General">
                  <c:v>1.6062E-2</c:v>
                </c:pt>
                <c:pt idx="9" formatCode="General">
                  <c:v>1.4855999999999999E-2</c:v>
                </c:pt>
                <c:pt idx="10" formatCode="General">
                  <c:v>2.4677999999999999E-2</c:v>
                </c:pt>
                <c:pt idx="11" formatCode="General">
                  <c:v>1.7779E-2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0C6-4CA8-9D42-FCE1E63BD785}"/>
            </c:ext>
          </c:extLst>
        </c:ser>
        <c:ser>
          <c:idx val="10"/>
          <c:order val="10"/>
          <c:tx>
            <c:strRef>
              <c:f>Sheet1!$A$174</c:f>
              <c:strCache>
                <c:ptCount val="1"/>
                <c:pt idx="0">
                  <c:v>I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Sheet1!$B$174:$M$174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2.3054000000000002E-2</c:v>
                </c:pt>
                <c:pt idx="2">
                  <c:v>1.9841000000000001E-2</c:v>
                </c:pt>
                <c:pt idx="3">
                  <c:v>2.7855999999999999E-2</c:v>
                </c:pt>
                <c:pt idx="4">
                  <c:v>4.9500000000000004E-3</c:v>
                </c:pt>
                <c:pt idx="5">
                  <c:v>5.5108999999999998E-2</c:v>
                </c:pt>
                <c:pt idx="6">
                  <c:v>1.4903E-2</c:v>
                </c:pt>
                <c:pt idx="7">
                  <c:v>1.3632E-2</c:v>
                </c:pt>
                <c:pt idx="8" formatCode="General">
                  <c:v>3.6277999999999998E-2</c:v>
                </c:pt>
                <c:pt idx="9" formatCode="General">
                  <c:v>5.8047000000000001E-2</c:v>
                </c:pt>
                <c:pt idx="10" formatCode="General">
                  <c:v>3.0565999999999999E-2</c:v>
                </c:pt>
                <c:pt idx="11" formatCode="General">
                  <c:v>1.4282E-2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0C6-4CA8-9D42-FCE1E63BD785}"/>
            </c:ext>
          </c:extLst>
        </c:ser>
        <c:ser>
          <c:idx val="11"/>
          <c:order val="11"/>
          <c:tx>
            <c:strRef>
              <c:f>Sheet1!$A$175</c:f>
              <c:strCache>
                <c:ptCount val="1"/>
                <c:pt idx="0">
                  <c:v>IG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Sheet1!$B$175:$M$175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3.0130000000000001E-2</c:v>
                </c:pt>
                <c:pt idx="2">
                  <c:v>1.4619999999999999E-2</c:v>
                </c:pt>
                <c:pt idx="3">
                  <c:v>2.7203000000000001E-2</c:v>
                </c:pt>
                <c:pt idx="4">
                  <c:v>5.4179999999999999E-2</c:v>
                </c:pt>
                <c:pt idx="5">
                  <c:v>8.6110000000000006E-3</c:v>
                </c:pt>
                <c:pt idx="6">
                  <c:v>4.471E-2</c:v>
                </c:pt>
                <c:pt idx="7">
                  <c:v>1.0031E-2</c:v>
                </c:pt>
                <c:pt idx="8" formatCode="General">
                  <c:v>2.4924000000000002E-2</c:v>
                </c:pt>
                <c:pt idx="9" formatCode="General">
                  <c:v>4.4567000000000002E-2</c:v>
                </c:pt>
                <c:pt idx="10" formatCode="General">
                  <c:v>3.1407999999999998E-2</c:v>
                </c:pt>
                <c:pt idx="11" formatCode="General">
                  <c:v>4.8965000000000002E-2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0C6-4CA8-9D42-FCE1E63BD785}"/>
            </c:ext>
          </c:extLst>
        </c:ser>
        <c:ser>
          <c:idx val="12"/>
          <c:order val="12"/>
          <c:tx>
            <c:strRef>
              <c:f>Sheet1!$A$176</c:f>
              <c:strCache>
                <c:ptCount val="1"/>
                <c:pt idx="0">
                  <c:v>IS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Sheet1!$B$176:$M$176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2.3966999999999999E-2</c:v>
                </c:pt>
                <c:pt idx="2">
                  <c:v>2.2765000000000001E-2</c:v>
                </c:pt>
                <c:pt idx="3">
                  <c:v>1.6757000000000001E-2</c:v>
                </c:pt>
                <c:pt idx="4">
                  <c:v>1.5677E-2</c:v>
                </c:pt>
                <c:pt idx="5">
                  <c:v>4.1619000000000003E-2</c:v>
                </c:pt>
                <c:pt idx="6">
                  <c:v>4.0067999999999999E-2</c:v>
                </c:pt>
                <c:pt idx="7">
                  <c:v>2.6235000000000001E-2</c:v>
                </c:pt>
                <c:pt idx="8" formatCode="General">
                  <c:v>1.9108E-2</c:v>
                </c:pt>
                <c:pt idx="9" formatCode="General">
                  <c:v>5.4746000000000003E-2</c:v>
                </c:pt>
                <c:pt idx="10" formatCode="General">
                  <c:v>3.4492000000000002E-2</c:v>
                </c:pt>
                <c:pt idx="11" formatCode="General">
                  <c:v>2.2442E-2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0C6-4CA8-9D42-FCE1E63BD785}"/>
            </c:ext>
          </c:extLst>
        </c:ser>
        <c:ser>
          <c:idx val="13"/>
          <c:order val="13"/>
          <c:tx>
            <c:strRef>
              <c:f>Sheet1!$A$177</c:f>
              <c:strCache>
                <c:ptCount val="1"/>
                <c:pt idx="0">
                  <c:v>IGS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Sheet1!$B$177:$M$177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2.5565000000000001E-2</c:v>
                </c:pt>
                <c:pt idx="2">
                  <c:v>1.8379E-2</c:v>
                </c:pt>
                <c:pt idx="3">
                  <c:v>2.6551000000000002E-2</c:v>
                </c:pt>
                <c:pt idx="4">
                  <c:v>6.8760000000000002E-3</c:v>
                </c:pt>
                <c:pt idx="5">
                  <c:v>2.8702999999999999E-2</c:v>
                </c:pt>
                <c:pt idx="6">
                  <c:v>5.5948999999999999E-2</c:v>
                </c:pt>
                <c:pt idx="7">
                  <c:v>3.9351999999999998E-2</c:v>
                </c:pt>
                <c:pt idx="8" formatCode="General">
                  <c:v>3.2124E-2</c:v>
                </c:pt>
                <c:pt idx="9" formatCode="General">
                  <c:v>4.3741000000000002E-2</c:v>
                </c:pt>
                <c:pt idx="10" formatCode="General">
                  <c:v>4.7953000000000003E-2</c:v>
                </c:pt>
                <c:pt idx="11" formatCode="General">
                  <c:v>5.0423000000000003E-2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0C6-4CA8-9D42-FCE1E63BD785}"/>
            </c:ext>
          </c:extLst>
        </c:ser>
        <c:ser>
          <c:idx val="14"/>
          <c:order val="14"/>
          <c:tx>
            <c:strRef>
              <c:f>Sheet1!$A$178</c:f>
              <c:strCache>
                <c:ptCount val="1"/>
                <c:pt idx="0">
                  <c:v>GSD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Sheet1!$B$178:$M$178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1.8945E-2</c:v>
                </c:pt>
                <c:pt idx="2">
                  <c:v>1.7125999999999999E-2</c:v>
                </c:pt>
                <c:pt idx="3">
                  <c:v>1.5668999999999999E-2</c:v>
                </c:pt>
                <c:pt idx="4">
                  <c:v>1.2651000000000001E-2</c:v>
                </c:pt>
                <c:pt idx="5">
                  <c:v>1.7795999999999999E-2</c:v>
                </c:pt>
                <c:pt idx="6">
                  <c:v>2.4431999999999999E-2</c:v>
                </c:pt>
                <c:pt idx="7">
                  <c:v>1.0545000000000001E-2</c:v>
                </c:pt>
                <c:pt idx="8" formatCode="General">
                  <c:v>1.4123999999999999E-2</c:v>
                </c:pt>
                <c:pt idx="9" formatCode="General">
                  <c:v>1.7330999999999999E-2</c:v>
                </c:pt>
                <c:pt idx="10" formatCode="General">
                  <c:v>1.8508E-2</c:v>
                </c:pt>
                <c:pt idx="11" formatCode="General">
                  <c:v>2.7688999999999998E-2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0C6-4CA8-9D42-FCE1E63BD785}"/>
            </c:ext>
          </c:extLst>
        </c:ser>
        <c:ser>
          <c:idx val="15"/>
          <c:order val="15"/>
          <c:tx>
            <c:strRef>
              <c:f>Sheet1!$A$179</c:f>
              <c:strCache>
                <c:ptCount val="1"/>
                <c:pt idx="0">
                  <c:v>IGNORE_THIS_2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Sheet1!$B$179:$M$179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9.3589999999999993E-3</c:v>
                </c:pt>
                <c:pt idx="2">
                  <c:v>9.3980000000000001E-3</c:v>
                </c:pt>
                <c:pt idx="3">
                  <c:v>7.3990000000000002E-3</c:v>
                </c:pt>
                <c:pt idx="4">
                  <c:v>1.0725999999999999E-2</c:v>
                </c:pt>
                <c:pt idx="5">
                  <c:v>1.2055E-2</c:v>
                </c:pt>
                <c:pt idx="6">
                  <c:v>1.4415000000000001E-2</c:v>
                </c:pt>
                <c:pt idx="7">
                  <c:v>9.5160000000000002E-3</c:v>
                </c:pt>
                <c:pt idx="8" formatCode="General">
                  <c:v>2.4924000000000002E-2</c:v>
                </c:pt>
                <c:pt idx="9" formatCode="General">
                  <c:v>1.0179000000000001E-2</c:v>
                </c:pt>
                <c:pt idx="10" formatCode="General">
                  <c:v>7.5719999999999997E-3</c:v>
                </c:pt>
                <c:pt idx="11" formatCode="General">
                  <c:v>1.2533000000000001E-2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0C6-4CA8-9D42-FCE1E63BD785}"/>
            </c:ext>
          </c:extLst>
        </c:ser>
        <c:ser>
          <c:idx val="16"/>
          <c:order val="16"/>
          <c:tx>
            <c:strRef>
              <c:f>Sheet1!$A$180</c:f>
              <c:strCache>
                <c:ptCount val="1"/>
                <c:pt idx="0">
                  <c:v>GD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Sheet1!$B$180:$M$180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1.3011E-2</c:v>
                </c:pt>
                <c:pt idx="2">
                  <c:v>1.8588E-2</c:v>
                </c:pt>
                <c:pt idx="3">
                  <c:v>1.7193E-2</c:v>
                </c:pt>
                <c:pt idx="4">
                  <c:v>1.1551000000000001E-2</c:v>
                </c:pt>
                <c:pt idx="5">
                  <c:v>1.6361000000000001E-2</c:v>
                </c:pt>
                <c:pt idx="6">
                  <c:v>2.3942999999999999E-2</c:v>
                </c:pt>
                <c:pt idx="7">
                  <c:v>1.0545000000000001E-2</c:v>
                </c:pt>
                <c:pt idx="8" formatCode="General">
                  <c:v>1.4123999999999999E-2</c:v>
                </c:pt>
                <c:pt idx="9" formatCode="General">
                  <c:v>2.4759E-2</c:v>
                </c:pt>
                <c:pt idx="10" formatCode="General">
                  <c:v>1.29E-2</c:v>
                </c:pt>
                <c:pt idx="11" formatCode="General">
                  <c:v>2.3608000000000001E-2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0C6-4CA8-9D42-FCE1E63BD785}"/>
            </c:ext>
          </c:extLst>
        </c:ser>
        <c:ser>
          <c:idx val="17"/>
          <c:order val="17"/>
          <c:tx>
            <c:strRef>
              <c:f>Sheet1!$A$181</c:f>
              <c:strCache>
                <c:ptCount val="1"/>
                <c:pt idx="0">
                  <c:v>GN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Sheet1!$B$181:$M$181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1.9401999999999999E-2</c:v>
                </c:pt>
                <c:pt idx="2">
                  <c:v>2.2556E-2</c:v>
                </c:pt>
                <c:pt idx="3">
                  <c:v>2.6768E-2</c:v>
                </c:pt>
                <c:pt idx="4">
                  <c:v>1.0175999999999999E-2</c:v>
                </c:pt>
                <c:pt idx="5">
                  <c:v>1.8370000000000001E-2</c:v>
                </c:pt>
                <c:pt idx="6">
                  <c:v>1.9300999999999999E-2</c:v>
                </c:pt>
                <c:pt idx="7">
                  <c:v>1.2088E-2</c:v>
                </c:pt>
                <c:pt idx="8" formatCode="General">
                  <c:v>1.4123999999999999E-2</c:v>
                </c:pt>
                <c:pt idx="9" formatCode="General">
                  <c:v>1.6781000000000001E-2</c:v>
                </c:pt>
                <c:pt idx="10" formatCode="General">
                  <c:v>1.6265000000000002E-2</c:v>
                </c:pt>
                <c:pt idx="11" formatCode="General">
                  <c:v>1.7195999999999999E-2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0C6-4CA8-9D42-FCE1E63BD785}"/>
            </c:ext>
          </c:extLst>
        </c:ser>
        <c:ser>
          <c:idx val="18"/>
          <c:order val="18"/>
          <c:tx>
            <c:strRef>
              <c:f>Sheet1!$A$182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Sheet1!$B$182:$M$182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2.7619000000000001E-2</c:v>
                </c:pt>
                <c:pt idx="2">
                  <c:v>2.2974000000000001E-2</c:v>
                </c:pt>
                <c:pt idx="3">
                  <c:v>2.3068999999999999E-2</c:v>
                </c:pt>
                <c:pt idx="4">
                  <c:v>1.4026E-2</c:v>
                </c:pt>
                <c:pt idx="5">
                  <c:v>1.6648E-2</c:v>
                </c:pt>
                <c:pt idx="6">
                  <c:v>2.2477E-2</c:v>
                </c:pt>
                <c:pt idx="7">
                  <c:v>2.3663E-2</c:v>
                </c:pt>
                <c:pt idx="8" formatCode="General">
                  <c:v>1.4123999999999999E-2</c:v>
                </c:pt>
                <c:pt idx="9" formatCode="General">
                  <c:v>2.3658999999999999E-2</c:v>
                </c:pt>
                <c:pt idx="10" formatCode="General">
                  <c:v>1.5984000000000002E-2</c:v>
                </c:pt>
                <c:pt idx="11" formatCode="General">
                  <c:v>2.0402E-2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0C6-4CA8-9D42-FCE1E63BD785}"/>
            </c:ext>
          </c:extLst>
        </c:ser>
        <c:ser>
          <c:idx val="19"/>
          <c:order val="19"/>
          <c:tx>
            <c:strRef>
              <c:f>Sheet1!$A$183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Sheet1!$B$183:$M$183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4.5879999999999997E-2</c:v>
                </c:pt>
                <c:pt idx="2">
                  <c:v>3.0492999999999999E-2</c:v>
                </c:pt>
                <c:pt idx="3">
                  <c:v>7.1164000000000005E-2</c:v>
                </c:pt>
                <c:pt idx="4">
                  <c:v>1.4300999999999999E-2</c:v>
                </c:pt>
                <c:pt idx="5">
                  <c:v>1.9518000000000001E-2</c:v>
                </c:pt>
                <c:pt idx="6">
                  <c:v>1.4415000000000001E-2</c:v>
                </c:pt>
                <c:pt idx="7">
                  <c:v>1.0802000000000001E-2</c:v>
                </c:pt>
                <c:pt idx="8" formatCode="General">
                  <c:v>1.44E-2</c:v>
                </c:pt>
                <c:pt idx="9" formatCode="General">
                  <c:v>2.2008E-2</c:v>
                </c:pt>
                <c:pt idx="10" formatCode="General">
                  <c:v>2.8603E-2</c:v>
                </c:pt>
                <c:pt idx="11" formatCode="General">
                  <c:v>2.7397000000000001E-2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0C6-4CA8-9D42-FCE1E63BD785}"/>
            </c:ext>
          </c:extLst>
        </c:ser>
        <c:ser>
          <c:idx val="20"/>
          <c:order val="20"/>
          <c:tx>
            <c:strRef>
              <c:f>Sheet1!$A$184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Sheet1!$B$163:$M$163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Sheet1!$B$184:$M$184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2.4424000000000001E-2</c:v>
                </c:pt>
                <c:pt idx="2">
                  <c:v>2.4435999999999999E-2</c:v>
                </c:pt>
                <c:pt idx="3">
                  <c:v>1.5668999999999999E-2</c:v>
                </c:pt>
                <c:pt idx="4">
                  <c:v>1.2651000000000001E-2</c:v>
                </c:pt>
                <c:pt idx="5">
                  <c:v>1.8657E-2</c:v>
                </c:pt>
                <c:pt idx="6">
                  <c:v>1.3193E-2</c:v>
                </c:pt>
                <c:pt idx="7">
                  <c:v>2.0833000000000001E-2</c:v>
                </c:pt>
                <c:pt idx="8" formatCode="General">
                  <c:v>1.1354E-2</c:v>
                </c:pt>
                <c:pt idx="9" formatCode="General">
                  <c:v>2.3658999999999999E-2</c:v>
                </c:pt>
                <c:pt idx="10" formatCode="General">
                  <c:v>1.1778E-2</c:v>
                </c:pt>
                <c:pt idx="11" formatCode="General">
                  <c:v>3.9056E-2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0C6-4CA8-9D42-FCE1E63BD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897052"/>
        <c:axId val="481794069"/>
      </c:lineChart>
      <c:catAx>
        <c:axId val="1139897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1794069"/>
        <c:crosses val="autoZero"/>
        <c:auto val="1"/>
        <c:lblAlgn val="ctr"/>
        <c:lblOffset val="100"/>
        <c:noMultiLvlLbl val="1"/>
      </c:catAx>
      <c:valAx>
        <c:axId val="481794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989705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AWS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Sheet1!$A$196</c:f>
              <c:strCache>
                <c:ptCount val="1"/>
                <c:pt idx="0">
                  <c:v>conST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Sheet1!$B$196:$M$196</c:f>
              <c:numCache>
                <c:formatCode>#,##0.00</c:formatCode>
                <c:ptCount val="12"/>
                <c:pt idx="0">
                  <c:v>-7.5670000000000001E-2</c:v>
                </c:pt>
                <c:pt idx="1">
                  <c:v>-7.8200000000000006E-2</c:v>
                </c:pt>
                <c:pt idx="2">
                  <c:v>-9.75E-3</c:v>
                </c:pt>
                <c:pt idx="3">
                  <c:v>-5.3620000000000001E-2</c:v>
                </c:pt>
                <c:pt idx="4">
                  <c:v>3.4014999999999997E-2</c:v>
                </c:pt>
                <c:pt idx="5">
                  <c:v>-1.308E-2</c:v>
                </c:pt>
                <c:pt idx="6">
                  <c:v>2.9619999999999998E-3</c:v>
                </c:pt>
                <c:pt idx="7">
                  <c:v>5.5259999999999997E-3</c:v>
                </c:pt>
                <c:pt idx="8">
                  <c:v>2.6492000000000002E-2</c:v>
                </c:pt>
                <c:pt idx="9">
                  <c:v>5.2942999999999997E-2</c:v>
                </c:pt>
                <c:pt idx="10">
                  <c:v>-4.2100000000000002E-3</c:v>
                </c:pt>
                <c:pt idx="11">
                  <c:v>-5.7999999999999996E-3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9-480A-8A28-CC2E929E2864}"/>
            </c:ext>
          </c:extLst>
        </c:ser>
        <c:ser>
          <c:idx val="1"/>
          <c:order val="1"/>
          <c:tx>
            <c:strRef>
              <c:f>Sheet1!$A$197</c:f>
              <c:strCache>
                <c:ptCount val="1"/>
                <c:pt idx="0">
                  <c:v>DeepST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Sheet1!$B$197:$M$197</c:f>
              <c:numCache>
                <c:formatCode>#,##0.00</c:formatCode>
                <c:ptCount val="12"/>
                <c:pt idx="0">
                  <c:v>4.1638000000000001E-2</c:v>
                </c:pt>
                <c:pt idx="1">
                  <c:v>1.9063E-2</c:v>
                </c:pt>
                <c:pt idx="2">
                  <c:v>-1.4670000000000001E-2</c:v>
                </c:pt>
                <c:pt idx="3">
                  <c:v>-1.116E-2</c:v>
                </c:pt>
                <c:pt idx="4">
                  <c:v>2.7910000000000001E-2</c:v>
                </c:pt>
                <c:pt idx="5">
                  <c:v>4.0730000000000002E-3</c:v>
                </c:pt>
                <c:pt idx="6">
                  <c:v>6.5392000000000006E-2</c:v>
                </c:pt>
                <c:pt idx="7">
                  <c:v>2.8666000000000001E-2</c:v>
                </c:pt>
                <c:pt idx="8">
                  <c:v>3.568E-3</c:v>
                </c:pt>
                <c:pt idx="9">
                  <c:v>5.6506000000000001E-2</c:v>
                </c:pt>
                <c:pt idx="10">
                  <c:v>6.3639000000000001E-2</c:v>
                </c:pt>
                <c:pt idx="11">
                  <c:v>-2.8670000000000001E-2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C9-480A-8A28-CC2E929E2864}"/>
            </c:ext>
          </c:extLst>
        </c:ser>
        <c:ser>
          <c:idx val="2"/>
          <c:order val="2"/>
          <c:tx>
            <c:strRef>
              <c:f>Sheet1!$A$198</c:f>
              <c:strCache>
                <c:ptCount val="1"/>
                <c:pt idx="0">
                  <c:v>SpaceFlow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Sheet1!$B$198:$M$198</c:f>
              <c:numCache>
                <c:formatCode>#,##0.00</c:formatCode>
                <c:ptCount val="12"/>
                <c:pt idx="0">
                  <c:v>0.139755665338822</c:v>
                </c:pt>
                <c:pt idx="1">
                  <c:v>0.156292048007828</c:v>
                </c:pt>
                <c:pt idx="2">
                  <c:v>0.13682231164238701</c:v>
                </c:pt>
                <c:pt idx="3">
                  <c:v>7.4999550599137002E-2</c:v>
                </c:pt>
                <c:pt idx="4">
                  <c:v>0.13380575434047701</c:v>
                </c:pt>
                <c:pt idx="5">
                  <c:v>0.115354658291084</c:v>
                </c:pt>
                <c:pt idx="6">
                  <c:v>0.21250307674053301</c:v>
                </c:pt>
                <c:pt idx="7">
                  <c:v>0.166743655984012</c:v>
                </c:pt>
                <c:pt idx="8">
                  <c:v>0.16514890138545399</c:v>
                </c:pt>
                <c:pt idx="9">
                  <c:v>2.9867668443653E-2</c:v>
                </c:pt>
                <c:pt idx="10">
                  <c:v>0.232268695091262</c:v>
                </c:pt>
                <c:pt idx="11">
                  <c:v>0.122025568523821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C9-480A-8A28-CC2E929E2864}"/>
            </c:ext>
          </c:extLst>
        </c:ser>
        <c:ser>
          <c:idx val="3"/>
          <c:order val="3"/>
          <c:tx>
            <c:strRef>
              <c:f>Sheet1!$A$199</c:f>
              <c:strCache>
                <c:ptCount val="1"/>
                <c:pt idx="0">
                  <c:v>STAGATE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Sheet1!$B$199:$M$199</c:f>
              <c:numCache>
                <c:formatCode>#,##0.00</c:formatCode>
                <c:ptCount val="12"/>
                <c:pt idx="0">
                  <c:v>4.0594523481317001E-2</c:v>
                </c:pt>
                <c:pt idx="1">
                  <c:v>2.46463594689579E-2</c:v>
                </c:pt>
                <c:pt idx="2">
                  <c:v>-5.5951623220797199E-2</c:v>
                </c:pt>
                <c:pt idx="3">
                  <c:v>-9.8182903345941694E-2</c:v>
                </c:pt>
                <c:pt idx="4">
                  <c:v>8.8932975372729095E-2</c:v>
                </c:pt>
                <c:pt idx="5">
                  <c:v>4.46713006201424E-2</c:v>
                </c:pt>
                <c:pt idx="6">
                  <c:v>7.1033483371610001E-2</c:v>
                </c:pt>
                <c:pt idx="7">
                  <c:v>1.1468517356051901E-2</c:v>
                </c:pt>
                <c:pt idx="8">
                  <c:v>4.3898564069108803E-2</c:v>
                </c:pt>
                <c:pt idx="9">
                  <c:v>2.2125403909372399E-2</c:v>
                </c:pt>
                <c:pt idx="10">
                  <c:v>7.1566173911964001E-2</c:v>
                </c:pt>
                <c:pt idx="11">
                  <c:v>0.18810840281238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C9-480A-8A28-CC2E929E2864}"/>
            </c:ext>
          </c:extLst>
        </c:ser>
        <c:ser>
          <c:idx val="4"/>
          <c:order val="4"/>
          <c:tx>
            <c:strRef>
              <c:f>Sheet1!$A$200</c:f>
              <c:strCache>
                <c:ptCount val="1"/>
                <c:pt idx="0">
                  <c:v>SpaGCN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Sheet1!$B$200:$M$200</c:f>
              <c:numCache>
                <c:formatCode>#,##0.00</c:formatCode>
                <c:ptCount val="12"/>
                <c:pt idx="0">
                  <c:v>1.8799999999999999E-3</c:v>
                </c:pt>
                <c:pt idx="1">
                  <c:v>1.8735000000000002E-2</c:v>
                </c:pt>
                <c:pt idx="2">
                  <c:v>-5.8020000000000002E-2</c:v>
                </c:pt>
                <c:pt idx="3">
                  <c:v>-2.2499999999999999E-2</c:v>
                </c:pt>
                <c:pt idx="4">
                  <c:v>-3.456E-2</c:v>
                </c:pt>
                <c:pt idx="5">
                  <c:v>-2.0559999999999998E-2</c:v>
                </c:pt>
                <c:pt idx="6">
                  <c:v>4.1993000000000003E-2</c:v>
                </c:pt>
                <c:pt idx="7">
                  <c:v>7.4790000000000004E-3</c:v>
                </c:pt>
                <c:pt idx="8">
                  <c:v>1.6695999999999999E-2</c:v>
                </c:pt>
                <c:pt idx="9">
                  <c:v>9.1278999999999999E-2</c:v>
                </c:pt>
                <c:pt idx="10">
                  <c:v>3.3008999999999997E-2</c:v>
                </c:pt>
                <c:pt idx="11">
                  <c:v>7.4256000000000003E-2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C9-480A-8A28-CC2E929E2864}"/>
            </c:ext>
          </c:extLst>
        </c:ser>
        <c:ser>
          <c:idx val="5"/>
          <c:order val="5"/>
          <c:tx>
            <c:strRef>
              <c:f>Sheet1!$A$201</c:f>
              <c:strCache>
                <c:ptCount val="1"/>
                <c:pt idx="0">
                  <c:v>GraphST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Sheet1!$B$201:$M$201</c:f>
              <c:numCache>
                <c:formatCode>#,##0.00</c:formatCode>
                <c:ptCount val="12"/>
                <c:pt idx="0">
                  <c:v>1.34702908874915E-2</c:v>
                </c:pt>
                <c:pt idx="1">
                  <c:v>2.4710360424594301E-2</c:v>
                </c:pt>
                <c:pt idx="2">
                  <c:v>-6.6307594335591996E-2</c:v>
                </c:pt>
                <c:pt idx="3">
                  <c:v>-0.13048041344790001</c:v>
                </c:pt>
                <c:pt idx="4">
                  <c:v>4.0129557585320302E-2</c:v>
                </c:pt>
                <c:pt idx="5">
                  <c:v>3.02907124695437E-2</c:v>
                </c:pt>
                <c:pt idx="6">
                  <c:v>4.7941445003760498E-2</c:v>
                </c:pt>
                <c:pt idx="7">
                  <c:v>2.93122420529368E-2</c:v>
                </c:pt>
                <c:pt idx="8">
                  <c:v>6.17394065911172E-2</c:v>
                </c:pt>
                <c:pt idx="9">
                  <c:v>7.2867682794255803E-2</c:v>
                </c:pt>
                <c:pt idx="10">
                  <c:v>7.0044748141854296E-2</c:v>
                </c:pt>
                <c:pt idx="11">
                  <c:v>7.4524671901248701E-2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C9-480A-8A28-CC2E929E2864}"/>
            </c:ext>
          </c:extLst>
        </c:ser>
        <c:ser>
          <c:idx val="6"/>
          <c:order val="6"/>
          <c:tx>
            <c:strRef>
              <c:f>Sheet1!$A$202</c:f>
              <c:strCache>
                <c:ptCount val="1"/>
                <c:pt idx="0">
                  <c:v>Mclust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Sheet1!$B$202:$M$202</c:f>
              <c:numCache>
                <c:formatCode>#,##0.00</c:formatCode>
                <c:ptCount val="12"/>
                <c:pt idx="0">
                  <c:v>4.2212E-2</c:v>
                </c:pt>
                <c:pt idx="1">
                  <c:v>2.3400000000000001E-3</c:v>
                </c:pt>
                <c:pt idx="2">
                  <c:v>-0.19600000000000001</c:v>
                </c:pt>
                <c:pt idx="3">
                  <c:v>-0.21375</c:v>
                </c:pt>
                <c:pt idx="4">
                  <c:v>5.1860000000000003E-2</c:v>
                </c:pt>
                <c:pt idx="5">
                  <c:v>2.2331E-2</c:v>
                </c:pt>
                <c:pt idx="6">
                  <c:v>6.5123E-2</c:v>
                </c:pt>
                <c:pt idx="7">
                  <c:v>7.8113000000000002E-2</c:v>
                </c:pt>
                <c:pt idx="8">
                  <c:v>-2.7100000000000002E-3</c:v>
                </c:pt>
                <c:pt idx="9">
                  <c:v>6.6403000000000004E-2</c:v>
                </c:pt>
                <c:pt idx="10">
                  <c:v>9.4070000000000001E-2</c:v>
                </c:pt>
                <c:pt idx="11">
                  <c:v>-4.3159999999999997E-2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C9-480A-8A28-CC2E929E2864}"/>
            </c:ext>
          </c:extLst>
        </c:ser>
        <c:ser>
          <c:idx val="7"/>
          <c:order val="7"/>
          <c:tx>
            <c:strRef>
              <c:f>Sheet1!$A$203</c:f>
              <c:strCache>
                <c:ptCount val="1"/>
                <c:pt idx="0">
                  <c:v>G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Sheet1!$B$203:$M$203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0</c:v>
                </c:pt>
                <c:pt idx="2">
                  <c:v>-0.24</c:v>
                </c:pt>
                <c:pt idx="3">
                  <c:v>-0.09</c:v>
                </c:pt>
                <c:pt idx="4">
                  <c:v>0.1</c:v>
                </c:pt>
                <c:pt idx="5">
                  <c:v>0.02</c:v>
                </c:pt>
                <c:pt idx="6">
                  <c:v>7.0000000000000007E-2</c:v>
                </c:pt>
                <c:pt idx="7">
                  <c:v>-0.06</c:v>
                </c:pt>
                <c:pt idx="8" formatCode="General">
                  <c:v>-0.01</c:v>
                </c:pt>
                <c:pt idx="9" formatCode="General">
                  <c:v>0.11</c:v>
                </c:pt>
                <c:pt idx="10" formatCode="General">
                  <c:v>0.05</c:v>
                </c:pt>
                <c:pt idx="11" formatCode="General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4C9-480A-8A28-CC2E929E2864}"/>
            </c:ext>
          </c:extLst>
        </c:ser>
        <c:ser>
          <c:idx val="8"/>
          <c:order val="8"/>
          <c:tx>
            <c:strRef>
              <c:f>Sheet1!$A$204</c:f>
              <c:strCache>
                <c:ptCount val="1"/>
                <c:pt idx="0">
                  <c:v>IGNORE_THIS_1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Sheet1!$B$204:$M$204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-0.11035</c:v>
                </c:pt>
                <c:pt idx="2">
                  <c:v>-0.13549</c:v>
                </c:pt>
                <c:pt idx="3">
                  <c:v>-8.8349999999999998E-2</c:v>
                </c:pt>
                <c:pt idx="4">
                  <c:v>3.8622999999999998E-2</c:v>
                </c:pt>
                <c:pt idx="5">
                  <c:v>3.2507000000000001E-2</c:v>
                </c:pt>
                <c:pt idx="6">
                  <c:v>-1.8610000000000002E-2</c:v>
                </c:pt>
                <c:pt idx="7">
                  <c:v>-6.7180000000000004E-2</c:v>
                </c:pt>
                <c:pt idx="8" formatCode="General">
                  <c:v>1.4253E-2</c:v>
                </c:pt>
                <c:pt idx="9" formatCode="General">
                  <c:v>-3.3730000000000003E-2</c:v>
                </c:pt>
                <c:pt idx="10" formatCode="General">
                  <c:v>0.10570599999999999</c:v>
                </c:pt>
                <c:pt idx="11" formatCode="General">
                  <c:v>0.117076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C9-480A-8A28-CC2E929E2864}"/>
            </c:ext>
          </c:extLst>
        </c:ser>
        <c:ser>
          <c:idx val="9"/>
          <c:order val="9"/>
          <c:tx>
            <c:strRef>
              <c:f>Sheet1!$A$205</c:f>
              <c:strCache>
                <c:ptCount val="1"/>
                <c:pt idx="0">
                  <c:v>GS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Sheet1!$B$205:$M$205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1.2662E-2</c:v>
                </c:pt>
                <c:pt idx="2">
                  <c:v>-0.21203</c:v>
                </c:pt>
                <c:pt idx="3">
                  <c:v>-5.3260000000000002E-2</c:v>
                </c:pt>
                <c:pt idx="4">
                  <c:v>5.4653E-2</c:v>
                </c:pt>
                <c:pt idx="5">
                  <c:v>2.0753000000000001E-2</c:v>
                </c:pt>
                <c:pt idx="6">
                  <c:v>3.2778000000000002E-2</c:v>
                </c:pt>
                <c:pt idx="7">
                  <c:v>-3.6549999999999999E-2</c:v>
                </c:pt>
                <c:pt idx="8" formatCode="General">
                  <c:v>5.0689999999999997E-3</c:v>
                </c:pt>
                <c:pt idx="9" formatCode="General">
                  <c:v>2.3154000000000001E-2</c:v>
                </c:pt>
                <c:pt idx="10" formatCode="General">
                  <c:v>3.2681000000000002E-2</c:v>
                </c:pt>
                <c:pt idx="11" formatCode="General">
                  <c:v>5.2486999999999999E-2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4C9-480A-8A28-CC2E929E2864}"/>
            </c:ext>
          </c:extLst>
        </c:ser>
        <c:ser>
          <c:idx val="10"/>
          <c:order val="10"/>
          <c:tx>
            <c:strRef>
              <c:f>Sheet1!$A$206</c:f>
              <c:strCache>
                <c:ptCount val="1"/>
                <c:pt idx="0">
                  <c:v>I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Sheet1!$B$206:$M$206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3.3822999999999999E-2</c:v>
                </c:pt>
                <c:pt idx="2">
                  <c:v>-0.2321</c:v>
                </c:pt>
                <c:pt idx="3">
                  <c:v>2.3050999999999999E-2</c:v>
                </c:pt>
                <c:pt idx="4">
                  <c:v>4.9577000000000003E-2</c:v>
                </c:pt>
                <c:pt idx="5">
                  <c:v>-1.848E-2</c:v>
                </c:pt>
                <c:pt idx="6">
                  <c:v>3.0804999999999999E-2</c:v>
                </c:pt>
                <c:pt idx="7">
                  <c:v>-0.1096</c:v>
                </c:pt>
                <c:pt idx="8" formatCode="General">
                  <c:v>-0.16474</c:v>
                </c:pt>
                <c:pt idx="9" formatCode="General">
                  <c:v>-1.6719999999999999E-2</c:v>
                </c:pt>
                <c:pt idx="10" formatCode="General">
                  <c:v>-6.0999999999999999E-2</c:v>
                </c:pt>
                <c:pt idx="11" formatCode="General">
                  <c:v>-0.11735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4C9-480A-8A28-CC2E929E2864}"/>
            </c:ext>
          </c:extLst>
        </c:ser>
        <c:ser>
          <c:idx val="11"/>
          <c:order val="11"/>
          <c:tx>
            <c:strRef>
              <c:f>Sheet1!$A$207</c:f>
              <c:strCache>
                <c:ptCount val="1"/>
                <c:pt idx="0">
                  <c:v>IG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Sheet1!$B$207:$M$207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3.1283999999999999E-2</c:v>
                </c:pt>
                <c:pt idx="2">
                  <c:v>-0.24048</c:v>
                </c:pt>
                <c:pt idx="3">
                  <c:v>5.7571999999999998E-2</c:v>
                </c:pt>
                <c:pt idx="4">
                  <c:v>-0.12640000000000001</c:v>
                </c:pt>
                <c:pt idx="5">
                  <c:v>-0.1091</c:v>
                </c:pt>
                <c:pt idx="6">
                  <c:v>-9.8479999999999998E-2</c:v>
                </c:pt>
                <c:pt idx="7">
                  <c:v>2.2030000000000001E-2</c:v>
                </c:pt>
                <c:pt idx="8" formatCode="General">
                  <c:v>-8.0930000000000002E-2</c:v>
                </c:pt>
                <c:pt idx="9" formatCode="General">
                  <c:v>2.2200000000000002E-3</c:v>
                </c:pt>
                <c:pt idx="10" formatCode="General">
                  <c:v>-6.6900000000000001E-2</c:v>
                </c:pt>
                <c:pt idx="11" formatCode="General">
                  <c:v>-8.9679999999999996E-2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4C9-480A-8A28-CC2E929E2864}"/>
            </c:ext>
          </c:extLst>
        </c:ser>
        <c:ser>
          <c:idx val="12"/>
          <c:order val="12"/>
          <c:tx>
            <c:strRef>
              <c:f>Sheet1!$A$208</c:f>
              <c:strCache>
                <c:ptCount val="1"/>
                <c:pt idx="0">
                  <c:v>IS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Sheet1!$B$208:$M$208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2.0563000000000001E-2</c:v>
                </c:pt>
                <c:pt idx="2">
                  <c:v>1.8468999999999999E-2</c:v>
                </c:pt>
                <c:pt idx="3">
                  <c:v>-3.4049999999999997E-2</c:v>
                </c:pt>
                <c:pt idx="4">
                  <c:v>-1.2760000000000001E-2</c:v>
                </c:pt>
                <c:pt idx="5">
                  <c:v>-6.2370000000000002E-2</c:v>
                </c:pt>
                <c:pt idx="6">
                  <c:v>-0.12256</c:v>
                </c:pt>
                <c:pt idx="7">
                  <c:v>-0.13663</c:v>
                </c:pt>
                <c:pt idx="8" formatCode="General">
                  <c:v>-0.27961999999999998</c:v>
                </c:pt>
                <c:pt idx="9" formatCode="General">
                  <c:v>-1.542E-2</c:v>
                </c:pt>
                <c:pt idx="10" formatCode="General">
                  <c:v>-6.9000000000000006E-2</c:v>
                </c:pt>
                <c:pt idx="11" formatCode="General">
                  <c:v>-9.9479999999999999E-2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4C9-480A-8A28-CC2E929E2864}"/>
            </c:ext>
          </c:extLst>
        </c:ser>
        <c:ser>
          <c:idx val="13"/>
          <c:order val="13"/>
          <c:tx>
            <c:strRef>
              <c:f>Sheet1!$A$209</c:f>
              <c:strCache>
                <c:ptCount val="1"/>
                <c:pt idx="0">
                  <c:v>IGS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Sheet1!$B$209:$M$209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3.6556999999999999E-2</c:v>
                </c:pt>
                <c:pt idx="2">
                  <c:v>-0.20880000000000001</c:v>
                </c:pt>
                <c:pt idx="3">
                  <c:v>6.2535999999999994E-2</c:v>
                </c:pt>
                <c:pt idx="4">
                  <c:v>5.4195E-2</c:v>
                </c:pt>
                <c:pt idx="5">
                  <c:v>-2.6440000000000002E-2</c:v>
                </c:pt>
                <c:pt idx="6">
                  <c:v>-0.11166</c:v>
                </c:pt>
                <c:pt idx="7">
                  <c:v>-1.093E-2</c:v>
                </c:pt>
                <c:pt idx="8" formatCode="General">
                  <c:v>-1.2579999999999999E-2</c:v>
                </c:pt>
                <c:pt idx="9" formatCode="General">
                  <c:v>1.2792E-2</c:v>
                </c:pt>
                <c:pt idx="10" formatCode="General">
                  <c:v>-4.0680000000000001E-2</c:v>
                </c:pt>
                <c:pt idx="11" formatCode="General">
                  <c:v>-0.12085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4C9-480A-8A28-CC2E929E2864}"/>
            </c:ext>
          </c:extLst>
        </c:ser>
        <c:ser>
          <c:idx val="14"/>
          <c:order val="14"/>
          <c:tx>
            <c:strRef>
              <c:f>Sheet1!$A$210</c:f>
              <c:strCache>
                <c:ptCount val="1"/>
                <c:pt idx="0">
                  <c:v>GSD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Sheet1!$B$210:$M$210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-2.0639999999999999E-2</c:v>
                </c:pt>
                <c:pt idx="2">
                  <c:v>-0.22425</c:v>
                </c:pt>
                <c:pt idx="3">
                  <c:v>-4.104E-2</c:v>
                </c:pt>
                <c:pt idx="4">
                  <c:v>4.0673000000000001E-2</c:v>
                </c:pt>
                <c:pt idx="5">
                  <c:v>1.4154999999999999E-2</c:v>
                </c:pt>
                <c:pt idx="6">
                  <c:v>6.9957000000000005E-2</c:v>
                </c:pt>
                <c:pt idx="7">
                  <c:v>-4.4139999999999999E-2</c:v>
                </c:pt>
                <c:pt idx="8" formatCode="General">
                  <c:v>1.3377E-2</c:v>
                </c:pt>
                <c:pt idx="9" formatCode="General">
                  <c:v>6.8737000000000006E-2</c:v>
                </c:pt>
                <c:pt idx="10" formatCode="General">
                  <c:v>-3.2719999999999999E-2</c:v>
                </c:pt>
                <c:pt idx="11" formatCode="General">
                  <c:v>3.1280000000000002E-2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4C9-480A-8A28-CC2E929E2864}"/>
            </c:ext>
          </c:extLst>
        </c:ser>
        <c:ser>
          <c:idx val="15"/>
          <c:order val="15"/>
          <c:tx>
            <c:strRef>
              <c:f>Sheet1!$A$211</c:f>
              <c:strCache>
                <c:ptCount val="1"/>
                <c:pt idx="0">
                  <c:v>IGNORE_THIS_2</c:v>
                </c:pt>
              </c:strCache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Sheet1!$B$211:$M$211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5.3303000000000003E-2</c:v>
                </c:pt>
                <c:pt idx="2">
                  <c:v>7.2753999999999999E-2</c:v>
                </c:pt>
                <c:pt idx="3">
                  <c:v>1.1479E-2</c:v>
                </c:pt>
                <c:pt idx="4">
                  <c:v>-3.6089999999999997E-2</c:v>
                </c:pt>
                <c:pt idx="5">
                  <c:v>0.104272</c:v>
                </c:pt>
                <c:pt idx="6">
                  <c:v>7.9149999999999998E-2</c:v>
                </c:pt>
                <c:pt idx="7">
                  <c:v>-6.8399999999999997E-3</c:v>
                </c:pt>
                <c:pt idx="8" formatCode="General">
                  <c:v>-8.0930000000000002E-2</c:v>
                </c:pt>
                <c:pt idx="9" formatCode="General">
                  <c:v>8.8832999999999995E-2</c:v>
                </c:pt>
                <c:pt idx="10" formatCode="General">
                  <c:v>0.18009600000000001</c:v>
                </c:pt>
                <c:pt idx="11" formatCode="General">
                  <c:v>0.129612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4C9-480A-8A28-CC2E929E2864}"/>
            </c:ext>
          </c:extLst>
        </c:ser>
        <c:ser>
          <c:idx val="16"/>
          <c:order val="16"/>
          <c:tx>
            <c:strRef>
              <c:f>Sheet1!$A$212</c:f>
              <c:strCache>
                <c:ptCount val="1"/>
                <c:pt idx="0">
                  <c:v>GD</c:v>
                </c:pt>
              </c:strCache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Sheet1!$B$212:$M$212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4.1269E-2</c:v>
                </c:pt>
                <c:pt idx="2">
                  <c:v>-5.493E-2</c:v>
                </c:pt>
                <c:pt idx="3">
                  <c:v>-6.8110000000000004E-2</c:v>
                </c:pt>
                <c:pt idx="4">
                  <c:v>3.2209000000000002E-2</c:v>
                </c:pt>
                <c:pt idx="5">
                  <c:v>1.2789E-2</c:v>
                </c:pt>
                <c:pt idx="6">
                  <c:v>4.9195999999999997E-2</c:v>
                </c:pt>
                <c:pt idx="7">
                  <c:v>-5.2540000000000003E-2</c:v>
                </c:pt>
                <c:pt idx="8" formatCode="General">
                  <c:v>-5.6599999999999998E-2</c:v>
                </c:pt>
                <c:pt idx="9" formatCode="General">
                  <c:v>-7.5199999999999998E-3</c:v>
                </c:pt>
                <c:pt idx="10" formatCode="General">
                  <c:v>3.8043E-2</c:v>
                </c:pt>
                <c:pt idx="11" formatCode="General">
                  <c:v>3.8282999999999998E-2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4C9-480A-8A28-CC2E929E2864}"/>
            </c:ext>
          </c:extLst>
        </c:ser>
        <c:ser>
          <c:idx val="17"/>
          <c:order val="17"/>
          <c:tx>
            <c:strRef>
              <c:f>Sheet1!$A$213</c:f>
              <c:strCache>
                <c:ptCount val="1"/>
                <c:pt idx="0">
                  <c:v>GN</c:v>
                </c:pt>
              </c:strCache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Sheet1!$B$213:$M$213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-3.1109999999999999E-2</c:v>
                </c:pt>
                <c:pt idx="2">
                  <c:v>-0.11802</c:v>
                </c:pt>
                <c:pt idx="3">
                  <c:v>-3.449E-2</c:v>
                </c:pt>
                <c:pt idx="4">
                  <c:v>2.7858000000000001E-2</c:v>
                </c:pt>
                <c:pt idx="5">
                  <c:v>3.0136E-2</c:v>
                </c:pt>
                <c:pt idx="6">
                  <c:v>3.5968E-2</c:v>
                </c:pt>
                <c:pt idx="7">
                  <c:v>-5.4679999999999999E-2</c:v>
                </c:pt>
                <c:pt idx="8" formatCode="General">
                  <c:v>6.7482E-2</c:v>
                </c:pt>
                <c:pt idx="9" formatCode="General">
                  <c:v>0.108524</c:v>
                </c:pt>
                <c:pt idx="10" formatCode="General">
                  <c:v>-6.1399999999999996E-3</c:v>
                </c:pt>
                <c:pt idx="11" formatCode="General">
                  <c:v>0.14992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4C9-480A-8A28-CC2E929E2864}"/>
            </c:ext>
          </c:extLst>
        </c:ser>
        <c:ser>
          <c:idx val="18"/>
          <c:order val="18"/>
          <c:tx>
            <c:strRef>
              <c:f>Sheet1!$A$214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Sheet1!$B$214:$M$214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1.0240000000000001E-2</c:v>
                </c:pt>
                <c:pt idx="2">
                  <c:v>-6.7129999999999995E-2</c:v>
                </c:pt>
                <c:pt idx="3">
                  <c:v>-0.17959</c:v>
                </c:pt>
                <c:pt idx="4">
                  <c:v>9.1818999999999998E-2</c:v>
                </c:pt>
                <c:pt idx="5">
                  <c:v>2.2032E-2</c:v>
                </c:pt>
                <c:pt idx="6">
                  <c:v>8.2504999999999995E-2</c:v>
                </c:pt>
                <c:pt idx="7">
                  <c:v>-5.4460000000000001E-2</c:v>
                </c:pt>
                <c:pt idx="8" formatCode="General">
                  <c:v>-2.3600000000000001E-3</c:v>
                </c:pt>
                <c:pt idx="9" formatCode="General">
                  <c:v>-5.4239999999999997E-2</c:v>
                </c:pt>
                <c:pt idx="10" formatCode="General">
                  <c:v>6.8811999999999998E-2</c:v>
                </c:pt>
                <c:pt idx="11" formatCode="General">
                  <c:v>0.15304499999999999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4C9-480A-8A28-CC2E929E2864}"/>
            </c:ext>
          </c:extLst>
        </c:ser>
        <c:ser>
          <c:idx val="19"/>
          <c:order val="19"/>
          <c:tx>
            <c:strRef>
              <c:f>Sheet1!$A$215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Sheet1!$B$215:$M$215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-2.1190000000000001E-2</c:v>
                </c:pt>
                <c:pt idx="2">
                  <c:v>-0.11601</c:v>
                </c:pt>
                <c:pt idx="3">
                  <c:v>-0.15784999999999999</c:v>
                </c:pt>
                <c:pt idx="4">
                  <c:v>5.2915999999999998E-2</c:v>
                </c:pt>
                <c:pt idx="5">
                  <c:v>5.3010000000000002E-2</c:v>
                </c:pt>
                <c:pt idx="6">
                  <c:v>3.588E-3</c:v>
                </c:pt>
                <c:pt idx="7">
                  <c:v>5.1539000000000001E-2</c:v>
                </c:pt>
                <c:pt idx="8" formatCode="General">
                  <c:v>6.9101999999999997E-2</c:v>
                </c:pt>
                <c:pt idx="9" formatCode="General">
                  <c:v>8.4042000000000006E-2</c:v>
                </c:pt>
                <c:pt idx="10" formatCode="General">
                  <c:v>-3.288E-2</c:v>
                </c:pt>
                <c:pt idx="11" formatCode="General">
                  <c:v>-2.469E-2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4C9-480A-8A28-CC2E929E2864}"/>
            </c:ext>
          </c:extLst>
        </c:ser>
        <c:ser>
          <c:idx val="20"/>
          <c:order val="20"/>
          <c:tx>
            <c:strRef>
              <c:f>Sheet1!$A$216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Sheet1!$B$195:$M$195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Sheet1!$B$216:$M$216</c:f>
              <c:numCache>
                <c:formatCode>#,##0.00</c:formatCode>
                <c:ptCount val="12"/>
                <c:pt idx="0" formatCode="@">
                  <c:v>0</c:v>
                </c:pt>
                <c:pt idx="1">
                  <c:v>-0.16181000000000001</c:v>
                </c:pt>
                <c:pt idx="2">
                  <c:v>-0.18737999999999999</c:v>
                </c:pt>
                <c:pt idx="3">
                  <c:v>-0.29485</c:v>
                </c:pt>
                <c:pt idx="4">
                  <c:v>0.100257</c:v>
                </c:pt>
                <c:pt idx="5">
                  <c:v>5.176E-2</c:v>
                </c:pt>
                <c:pt idx="6">
                  <c:v>-1.404E-2</c:v>
                </c:pt>
                <c:pt idx="7">
                  <c:v>6.1669000000000002E-2</c:v>
                </c:pt>
                <c:pt idx="8" formatCode="General">
                  <c:v>3.1361E-2</c:v>
                </c:pt>
                <c:pt idx="9" formatCode="General">
                  <c:v>-2.001E-2</c:v>
                </c:pt>
                <c:pt idx="10" formatCode="General">
                  <c:v>1.5886999999999998E-2</c:v>
                </c:pt>
                <c:pt idx="11" formatCode="General">
                  <c:v>2.0506E-2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4C9-480A-8A28-CC2E929E2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518893"/>
        <c:axId val="1200580965"/>
      </c:lineChart>
      <c:catAx>
        <c:axId val="219518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0580965"/>
        <c:crosses val="autoZero"/>
        <c:auto val="1"/>
        <c:lblAlgn val="ctr"/>
        <c:lblOffset val="100"/>
        <c:noMultiLvlLbl val="1"/>
      </c:catAx>
      <c:valAx>
        <c:axId val="1200580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95188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SEnco+point (3000 genes) vs. SEnco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Sheet1!$E$478</c:f>
              <c:strCache>
                <c:ptCount val="1"/>
                <c:pt idx="0">
                  <c:v>G+point (3000 genes)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Sheet1!$D$479:$D$490</c:f>
              <c:numCache>
                <c:formatCode>#,##0.00</c:formatCode>
                <c:ptCount val="12"/>
                <c:pt idx="0">
                  <c:v>0.52657900000000002</c:v>
                </c:pt>
                <c:pt idx="1">
                  <c:v>0</c:v>
                </c:pt>
                <c:pt idx="2">
                  <c:v>0.42979400000000001</c:v>
                </c:pt>
                <c:pt idx="3">
                  <c:v>0.47319</c:v>
                </c:pt>
                <c:pt idx="4">
                  <c:v>0.40460800000000002</c:v>
                </c:pt>
                <c:pt idx="5">
                  <c:v>0.38750800000000002</c:v>
                </c:pt>
                <c:pt idx="6">
                  <c:v>0.59926000000000001</c:v>
                </c:pt>
                <c:pt idx="7">
                  <c:v>0.62194000000000005</c:v>
                </c:pt>
                <c:pt idx="8">
                  <c:v>0.66126600000000002</c:v>
                </c:pt>
                <c:pt idx="9">
                  <c:v>0.59170599999999995</c:v>
                </c:pt>
                <c:pt idx="10">
                  <c:v>0.47311300000000001</c:v>
                </c:pt>
                <c:pt idx="11">
                  <c:v>0.63705999999999996</c:v>
                </c:pt>
              </c:numCache>
            </c:numRef>
          </c:cat>
          <c:val>
            <c:numRef>
              <c:f>Sheet1!$E$479:$E$490</c:f>
              <c:numCache>
                <c:formatCode>0.00</c:formatCode>
                <c:ptCount val="12"/>
                <c:pt idx="0">
                  <c:v>0.31903399999999998</c:v>
                </c:pt>
                <c:pt idx="1">
                  <c:v>0.33743600000000001</c:v>
                </c:pt>
                <c:pt idx="2">
                  <c:v>0.38785999999999998</c:v>
                </c:pt>
                <c:pt idx="3">
                  <c:v>0.451764</c:v>
                </c:pt>
                <c:pt idx="4">
                  <c:v>0.43754700000000002</c:v>
                </c:pt>
                <c:pt idx="5">
                  <c:v>0.35050700000000001</c:v>
                </c:pt>
                <c:pt idx="6">
                  <c:v>0.64410400000000001</c:v>
                </c:pt>
                <c:pt idx="7">
                  <c:v>0.64088100000000003</c:v>
                </c:pt>
                <c:pt idx="8">
                  <c:v>0.60730600000000001</c:v>
                </c:pt>
                <c:pt idx="9">
                  <c:v>0.439805</c:v>
                </c:pt>
                <c:pt idx="10">
                  <c:v>0.47137400000000002</c:v>
                </c:pt>
                <c:pt idx="11">
                  <c:v>0.47849700000000001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8A-45A5-9C27-015B6CBB9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316099"/>
        <c:axId val="1459631459"/>
      </c:barChart>
      <c:catAx>
        <c:axId val="526316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SEnco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9631459"/>
        <c:crosses val="autoZero"/>
        <c:auto val="1"/>
        <c:lblAlgn val="ctr"/>
        <c:lblOffset val="100"/>
        <c:noMultiLvlLbl val="1"/>
      </c:catAx>
      <c:valAx>
        <c:axId val="1459631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SEnco+point (3000 genes)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63160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SEnco+Photo (LIKE 11)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Sheet1!$A$19</c:f>
              <c:strCache>
                <c:ptCount val="1"/>
                <c:pt idx="0">
                  <c:v>IGNORE_THIS_2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Sheet1!$B$19:$M$19</c:f>
              <c:numCache>
                <c:formatCode>General</c:formatCode>
                <c:ptCount val="12"/>
                <c:pt idx="0">
                  <c:v>0.203983</c:v>
                </c:pt>
                <c:pt idx="1">
                  <c:v>0.23699400000000001</c:v>
                </c:pt>
                <c:pt idx="2">
                  <c:v>7.6691999999999996E-2</c:v>
                </c:pt>
                <c:pt idx="3">
                  <c:v>8.1236000000000003E-2</c:v>
                </c:pt>
                <c:pt idx="4">
                  <c:v>-2.164E-2</c:v>
                </c:pt>
                <c:pt idx="5">
                  <c:v>0.327824</c:v>
                </c:pt>
                <c:pt idx="6">
                  <c:v>0.56433</c:v>
                </c:pt>
                <c:pt idx="7">
                  <c:v>0.59923400000000004</c:v>
                </c:pt>
                <c:pt idx="8">
                  <c:v>0.18057699999999999</c:v>
                </c:pt>
                <c:pt idx="9">
                  <c:v>0.32062499999999999</c:v>
                </c:pt>
                <c:pt idx="10">
                  <c:v>0.28939900000000002</c:v>
                </c:pt>
                <c:pt idx="11">
                  <c:v>0.29688500000000001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D-4D1C-B43D-0332D586B7F2}"/>
            </c:ext>
          </c:extLst>
        </c:ser>
        <c:ser>
          <c:idx val="1"/>
          <c:order val="1"/>
          <c:tx>
            <c:strRef>
              <c:f>Sheet1!$A$11</c:f>
              <c:strCache>
                <c:ptCount val="1"/>
                <c:pt idx="0">
                  <c:v>G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Sheet1!$B$11:$M$11</c:f>
              <c:numCache>
                <c:formatCode>#,##0.00</c:formatCode>
                <c:ptCount val="12"/>
                <c:pt idx="0">
                  <c:v>0.52657900000000002</c:v>
                </c:pt>
                <c:pt idx="1">
                  <c:v>0</c:v>
                </c:pt>
                <c:pt idx="2">
                  <c:v>0.42979400000000001</c:v>
                </c:pt>
                <c:pt idx="3">
                  <c:v>0.47319</c:v>
                </c:pt>
                <c:pt idx="4">
                  <c:v>0.40460800000000002</c:v>
                </c:pt>
                <c:pt idx="5">
                  <c:v>0.38750800000000002</c:v>
                </c:pt>
                <c:pt idx="6">
                  <c:v>0.59926000000000001</c:v>
                </c:pt>
                <c:pt idx="7">
                  <c:v>0.62194000000000005</c:v>
                </c:pt>
                <c:pt idx="8">
                  <c:v>0.66126600000000002</c:v>
                </c:pt>
                <c:pt idx="9">
                  <c:v>0.59170599999999995</c:v>
                </c:pt>
                <c:pt idx="10">
                  <c:v>0.47311300000000001</c:v>
                </c:pt>
                <c:pt idx="11">
                  <c:v>0.63705999999999996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D-4D1C-B43D-0332D586B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522070"/>
        <c:axId val="140714923"/>
      </c:lineChart>
      <c:catAx>
        <c:axId val="484522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714923"/>
        <c:crosses val="autoZero"/>
        <c:auto val="1"/>
        <c:lblAlgn val="ctr"/>
        <c:lblOffset val="100"/>
        <c:noMultiLvlLbl val="1"/>
      </c:catAx>
      <c:valAx>
        <c:axId val="140714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SEnco+Photo (LIKE 11)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45220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conST, DeepST and SpaceFlow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Sheet1!$A$11</c:f>
              <c:strCache>
                <c:ptCount val="1"/>
                <c:pt idx="0">
                  <c:v>G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Sheet1!$B$11:$M$11</c:f>
              <c:numCache>
                <c:formatCode>#,##0.00</c:formatCode>
                <c:ptCount val="12"/>
                <c:pt idx="0">
                  <c:v>0.52657900000000002</c:v>
                </c:pt>
                <c:pt idx="1">
                  <c:v>0</c:v>
                </c:pt>
                <c:pt idx="2">
                  <c:v>0.42979400000000001</c:v>
                </c:pt>
                <c:pt idx="3">
                  <c:v>0.47319</c:v>
                </c:pt>
                <c:pt idx="4">
                  <c:v>0.40460800000000002</c:v>
                </c:pt>
                <c:pt idx="5">
                  <c:v>0.38750800000000002</c:v>
                </c:pt>
                <c:pt idx="6">
                  <c:v>0.59926000000000001</c:v>
                </c:pt>
                <c:pt idx="7">
                  <c:v>0.62194000000000005</c:v>
                </c:pt>
                <c:pt idx="8">
                  <c:v>0.66126600000000002</c:v>
                </c:pt>
                <c:pt idx="9">
                  <c:v>0.59170599999999995</c:v>
                </c:pt>
                <c:pt idx="10">
                  <c:v>0.47311300000000001</c:v>
                </c:pt>
                <c:pt idx="11">
                  <c:v>0.63705999999999996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42-4FBD-8323-589BC43010E2}"/>
            </c:ext>
          </c:extLst>
        </c:ser>
        <c:ser>
          <c:idx val="1"/>
          <c:order val="1"/>
          <c:tx>
            <c:strRef>
              <c:f>Sheet1!$A$22</c:f>
              <c:strCache>
                <c:ptCount val="1"/>
                <c:pt idx="0">
                  <c:v>Scatter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Sheet1!$B$3:$M$3</c:f>
              <c:strCache>
                <c:ptCount val="12"/>
                <c:pt idx="0">
                  <c:v>151507</c:v>
                </c:pt>
                <c:pt idx="1">
                  <c:v>151508</c:v>
                </c:pt>
                <c:pt idx="2">
                  <c:v>151509</c:v>
                </c:pt>
                <c:pt idx="3">
                  <c:v>151510</c:v>
                </c:pt>
                <c:pt idx="4">
                  <c:v>151669</c:v>
                </c:pt>
                <c:pt idx="5">
                  <c:v>151670</c:v>
                </c:pt>
                <c:pt idx="6">
                  <c:v>151671</c:v>
                </c:pt>
                <c:pt idx="7">
                  <c:v>151672</c:v>
                </c:pt>
                <c:pt idx="8">
                  <c:v>151673</c:v>
                </c:pt>
                <c:pt idx="9">
                  <c:v>151674</c:v>
                </c:pt>
                <c:pt idx="10">
                  <c:v>151675</c:v>
                </c:pt>
                <c:pt idx="11">
                  <c:v>151676</c:v>
                </c:pt>
              </c:strCache>
            </c:strRef>
          </c:cat>
          <c:val>
            <c:numRef>
              <c:f>Sheet1!$B$22:$M$22</c:f>
              <c:numCache>
                <c:formatCode>General</c:formatCode>
                <c:ptCount val="12"/>
                <c:pt idx="0">
                  <c:v>0.47131000000000001</c:v>
                </c:pt>
                <c:pt idx="1">
                  <c:v>0.397422</c:v>
                </c:pt>
                <c:pt idx="2">
                  <c:v>0.48116199999999998</c:v>
                </c:pt>
                <c:pt idx="3">
                  <c:v>0.383963</c:v>
                </c:pt>
                <c:pt idx="4">
                  <c:v>0.394563</c:v>
                </c:pt>
                <c:pt idx="5">
                  <c:v>0.37726900000000002</c:v>
                </c:pt>
                <c:pt idx="6">
                  <c:v>0.46800700000000001</c:v>
                </c:pt>
                <c:pt idx="7">
                  <c:v>0.733985</c:v>
                </c:pt>
                <c:pt idx="8">
                  <c:v>0.66135299999999997</c:v>
                </c:pt>
                <c:pt idx="9">
                  <c:v>0.54572600000000004</c:v>
                </c:pt>
                <c:pt idx="10">
                  <c:v>0.45666600000000002</c:v>
                </c:pt>
                <c:pt idx="11">
                  <c:v>0.42496299999999998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42-4FBD-8323-589BC4301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0547527"/>
        <c:axId val="112152426"/>
      </c:lineChart>
      <c:catAx>
        <c:axId val="610547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152426"/>
        <c:crosses val="autoZero"/>
        <c:auto val="1"/>
        <c:lblAlgn val="ctr"/>
        <c:lblOffset val="100"/>
        <c:noMultiLvlLbl val="1"/>
      </c:catAx>
      <c:valAx>
        <c:axId val="112152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05475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conST, DeepST, SpaceFlow, STAGATE, SpaGCN…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Sheet1!$A$23</c:f>
              <c:strCache>
                <c:ptCount val="1"/>
                <c:pt idx="0">
                  <c:v>ACT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Sheet1!$B$23:$M$23</c:f>
              <c:numCache>
                <c:formatCode>General</c:formatCode>
                <c:ptCount val="12"/>
                <c:pt idx="0">
                  <c:v>0.40696199999999999</c:v>
                </c:pt>
                <c:pt idx="1">
                  <c:v>0.415877</c:v>
                </c:pt>
                <c:pt idx="2">
                  <c:v>0.531725</c:v>
                </c:pt>
                <c:pt idx="3">
                  <c:v>0.31445899999999999</c:v>
                </c:pt>
                <c:pt idx="4">
                  <c:v>0.33756199999999997</c:v>
                </c:pt>
                <c:pt idx="5">
                  <c:v>0.374357</c:v>
                </c:pt>
                <c:pt idx="6">
                  <c:v>0.43853300000000001</c:v>
                </c:pt>
                <c:pt idx="7">
                  <c:v>0.59107699999999996</c:v>
                </c:pt>
                <c:pt idx="8">
                  <c:v>0.67424700000000004</c:v>
                </c:pt>
                <c:pt idx="9">
                  <c:v>0.36371500000000001</c:v>
                </c:pt>
                <c:pt idx="10">
                  <c:v>0.33943299999999998</c:v>
                </c:pt>
                <c:pt idx="11">
                  <c:v>0.21218799999999999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AD-4C55-8553-0E2509E7D961}"/>
            </c:ext>
          </c:extLst>
        </c:ser>
        <c:ser>
          <c:idx val="1"/>
          <c:order val="1"/>
          <c:tx>
            <c:strRef>
              <c:f>Sheet1!$A$11</c:f>
              <c:strCache>
                <c:ptCount val="1"/>
                <c:pt idx="0">
                  <c:v>G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Sheet1!$B$11:$M$11</c:f>
              <c:numCache>
                <c:formatCode>#,##0.00</c:formatCode>
                <c:ptCount val="12"/>
                <c:pt idx="0">
                  <c:v>0.52657900000000002</c:v>
                </c:pt>
                <c:pt idx="1">
                  <c:v>0</c:v>
                </c:pt>
                <c:pt idx="2">
                  <c:v>0.42979400000000001</c:v>
                </c:pt>
                <c:pt idx="3">
                  <c:v>0.47319</c:v>
                </c:pt>
                <c:pt idx="4">
                  <c:v>0.40460800000000002</c:v>
                </c:pt>
                <c:pt idx="5">
                  <c:v>0.38750800000000002</c:v>
                </c:pt>
                <c:pt idx="6">
                  <c:v>0.59926000000000001</c:v>
                </c:pt>
                <c:pt idx="7">
                  <c:v>0.62194000000000005</c:v>
                </c:pt>
                <c:pt idx="8">
                  <c:v>0.66126600000000002</c:v>
                </c:pt>
                <c:pt idx="9">
                  <c:v>0.59170599999999995</c:v>
                </c:pt>
                <c:pt idx="10">
                  <c:v>0.47311300000000001</c:v>
                </c:pt>
                <c:pt idx="11">
                  <c:v>0.63705999999999996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D-4C55-8553-0E2509E7D961}"/>
            </c:ext>
          </c:extLst>
        </c:ser>
        <c:ser>
          <c:idx val="2"/>
          <c:order val="2"/>
          <c:tx>
            <c:strRef>
              <c:f>Sheet1!$A$24</c:f>
              <c:strCache>
                <c:ptCount val="1"/>
                <c:pt idx="0">
                  <c:v>FACT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Sheet1!$B$24:$M$24</c:f>
              <c:numCache>
                <c:formatCode>General</c:formatCode>
                <c:ptCount val="12"/>
                <c:pt idx="0">
                  <c:v>0.32301400000000002</c:v>
                </c:pt>
                <c:pt idx="1">
                  <c:v>0.34066600000000002</c:v>
                </c:pt>
                <c:pt idx="2">
                  <c:v>0.48981400000000003</c:v>
                </c:pt>
                <c:pt idx="3">
                  <c:v>0.34084399999999998</c:v>
                </c:pt>
                <c:pt idx="4">
                  <c:v>0.42769299999999999</c:v>
                </c:pt>
                <c:pt idx="5">
                  <c:v>0.28515200000000002</c:v>
                </c:pt>
                <c:pt idx="6">
                  <c:v>0.82827099999999998</c:v>
                </c:pt>
                <c:pt idx="7">
                  <c:v>0.51103600000000005</c:v>
                </c:pt>
                <c:pt idx="8">
                  <c:v>0.43251299999999998</c:v>
                </c:pt>
                <c:pt idx="9">
                  <c:v>0.29630800000000002</c:v>
                </c:pt>
                <c:pt idx="10">
                  <c:v>0.48085099999999997</c:v>
                </c:pt>
                <c:pt idx="11">
                  <c:v>0.239229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AD-4C55-8553-0E2509E7D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358989"/>
        <c:axId val="466781357"/>
      </c:lineChart>
      <c:catAx>
        <c:axId val="1008358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6781357"/>
        <c:crosses val="autoZero"/>
        <c:auto val="1"/>
        <c:lblAlgn val="ctr"/>
        <c:lblOffset val="100"/>
        <c:noMultiLvlLbl val="1"/>
      </c:catAx>
      <c:valAx>
        <c:axId val="466781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83589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8156246465146"/>
          <c:y val="3.7181350219587482E-2"/>
          <c:w val="0.80391589480800663"/>
          <c:h val="0.84319230500868125"/>
        </c:manualLayout>
      </c:layout>
      <c:barChart>
        <c:barDir val="bar"/>
        <c:grouping val="stacked"/>
        <c:varyColors val="0"/>
        <c:ser>
          <c:idx val="0"/>
          <c:order val="0"/>
          <c:tx>
            <c:v>151507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G</c:v>
                </c:pt>
                <c:pt idx="8">
                  <c:v>IGNORE_THIS_1</c:v>
                </c:pt>
                <c:pt idx="9">
                  <c:v>GS</c:v>
                </c:pt>
                <c:pt idx="10">
                  <c:v>I</c:v>
                </c:pt>
                <c:pt idx="11">
                  <c:v>IG</c:v>
                </c:pt>
                <c:pt idx="12">
                  <c:v>IS</c:v>
                </c:pt>
                <c:pt idx="13">
                  <c:v>IGS</c:v>
                </c:pt>
                <c:pt idx="14">
                  <c:v>GSD</c:v>
                </c:pt>
                <c:pt idx="15">
                  <c:v>IGNORE_THIS_2</c:v>
                </c:pt>
                <c:pt idx="16">
                  <c:v>GD</c:v>
                </c:pt>
                <c:pt idx="17">
                  <c:v>GN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Ensemble</c:v>
                </c:pt>
              </c:strCache>
            </c:strRef>
          </c:cat>
          <c:val>
            <c:numRef>
              <c:f>Sheet1!$B$4:$B$25</c:f>
              <c:numCache>
                <c:formatCode>#,##0.00</c:formatCode>
                <c:ptCount val="22"/>
                <c:pt idx="0">
                  <c:v>0.25927164897861499</c:v>
                </c:pt>
                <c:pt idx="1">
                  <c:v>0.53092639168142197</c:v>
                </c:pt>
                <c:pt idx="2">
                  <c:v>0.31077497666348503</c:v>
                </c:pt>
                <c:pt idx="3">
                  <c:v>0.585404649096948</c:v>
                </c:pt>
                <c:pt idx="4">
                  <c:v>0.43057000000000001</c:v>
                </c:pt>
                <c:pt idx="5">
                  <c:v>0.43341822150738302</c:v>
                </c:pt>
                <c:pt idx="6">
                  <c:v>0.59593799999999997</c:v>
                </c:pt>
                <c:pt idx="7">
                  <c:v>0.52657900000000002</c:v>
                </c:pt>
                <c:pt idx="8" formatCode="0.00">
                  <c:v>0.31903399999999998</c:v>
                </c:pt>
                <c:pt idx="9" formatCode="0.00">
                  <c:v>0.54800099999999996</c:v>
                </c:pt>
                <c:pt idx="10" formatCode="0.00">
                  <c:v>9.5880000000000007E-2</c:v>
                </c:pt>
                <c:pt idx="11" formatCode="0.00">
                  <c:v>0.13065499999999999</c:v>
                </c:pt>
                <c:pt idx="12" formatCode="0.00">
                  <c:v>0.135189</c:v>
                </c:pt>
                <c:pt idx="13" formatCode="General">
                  <c:v>0.16128799999999999</c:v>
                </c:pt>
                <c:pt idx="14" formatCode="General">
                  <c:v>0.47873599999999999</c:v>
                </c:pt>
                <c:pt idx="15" formatCode="General">
                  <c:v>0.203983</c:v>
                </c:pt>
                <c:pt idx="16" formatCode="General">
                  <c:v>0.52093699999999998</c:v>
                </c:pt>
                <c:pt idx="17" formatCode="General">
                  <c:v>0.49482500000000001</c:v>
                </c:pt>
                <c:pt idx="18" formatCode="General">
                  <c:v>0.47131000000000001</c:v>
                </c:pt>
                <c:pt idx="19" formatCode="General">
                  <c:v>0.40696199999999999</c:v>
                </c:pt>
                <c:pt idx="20" formatCode="General">
                  <c:v>0.32301400000000002</c:v>
                </c:pt>
                <c:pt idx="21">
                  <c:v>0.40696199999999999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4-4192-840A-4E7C20637F48}"/>
            </c:ext>
          </c:extLst>
        </c:ser>
        <c:ser>
          <c:idx val="1"/>
          <c:order val="1"/>
          <c:tx>
            <c:v>151508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G</c:v>
                </c:pt>
                <c:pt idx="8">
                  <c:v>IGNORE_THIS_1</c:v>
                </c:pt>
                <c:pt idx="9">
                  <c:v>GS</c:v>
                </c:pt>
                <c:pt idx="10">
                  <c:v>I</c:v>
                </c:pt>
                <c:pt idx="11">
                  <c:v>IG</c:v>
                </c:pt>
                <c:pt idx="12">
                  <c:v>IS</c:v>
                </c:pt>
                <c:pt idx="13">
                  <c:v>IGS</c:v>
                </c:pt>
                <c:pt idx="14">
                  <c:v>GSD</c:v>
                </c:pt>
                <c:pt idx="15">
                  <c:v>IGNORE_THIS_2</c:v>
                </c:pt>
                <c:pt idx="16">
                  <c:v>GD</c:v>
                </c:pt>
                <c:pt idx="17">
                  <c:v>GN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Ensemble</c:v>
                </c:pt>
              </c:strCache>
            </c:strRef>
          </c:cat>
          <c:val>
            <c:numRef>
              <c:f>Sheet1!$C$4:$C$25</c:f>
              <c:numCache>
                <c:formatCode>#,##0.00</c:formatCode>
                <c:ptCount val="22"/>
                <c:pt idx="0">
                  <c:v>0.37367369601359302</c:v>
                </c:pt>
                <c:pt idx="1">
                  <c:v>0.444586912840707</c:v>
                </c:pt>
                <c:pt idx="2">
                  <c:v>0.257112611084444</c:v>
                </c:pt>
                <c:pt idx="3">
                  <c:v>0.43466102569959703</c:v>
                </c:pt>
                <c:pt idx="4">
                  <c:v>0.37518600000000002</c:v>
                </c:pt>
                <c:pt idx="5">
                  <c:v>0.48755074710835999</c:v>
                </c:pt>
                <c:pt idx="6">
                  <c:v>0.47907699999999998</c:v>
                </c:pt>
                <c:pt idx="7">
                  <c:v>0</c:v>
                </c:pt>
                <c:pt idx="8" formatCode="0.00">
                  <c:v>0.33743600000000001</c:v>
                </c:pt>
                <c:pt idx="9" formatCode="0.00">
                  <c:v>0.41398600000000002</c:v>
                </c:pt>
                <c:pt idx="10" formatCode="0.00">
                  <c:v>0.166939</c:v>
                </c:pt>
                <c:pt idx="11" formatCode="0.00">
                  <c:v>0.16766500000000001</c:v>
                </c:pt>
                <c:pt idx="12" formatCode="0.00">
                  <c:v>0.16394</c:v>
                </c:pt>
                <c:pt idx="13" formatCode="General">
                  <c:v>0.16831299999999999</c:v>
                </c:pt>
                <c:pt idx="14" formatCode="General">
                  <c:v>0.33334900000000001</c:v>
                </c:pt>
                <c:pt idx="15" formatCode="General">
                  <c:v>0.23699400000000001</c:v>
                </c:pt>
                <c:pt idx="16" formatCode="General">
                  <c:v>0.48976599999999998</c:v>
                </c:pt>
                <c:pt idx="17" formatCode="General">
                  <c:v>0.32907900000000001</c:v>
                </c:pt>
                <c:pt idx="18" formatCode="General">
                  <c:v>0.397422</c:v>
                </c:pt>
                <c:pt idx="19" formatCode="General">
                  <c:v>0.415877</c:v>
                </c:pt>
                <c:pt idx="20" formatCode="General">
                  <c:v>0.34066600000000002</c:v>
                </c:pt>
                <c:pt idx="21" formatCode="General">
                  <c:v>0.415877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24-4192-840A-4E7C20637F48}"/>
            </c:ext>
          </c:extLst>
        </c:ser>
        <c:ser>
          <c:idx val="2"/>
          <c:order val="2"/>
          <c:tx>
            <c:v>151509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G</c:v>
                </c:pt>
                <c:pt idx="8">
                  <c:v>IGNORE_THIS_1</c:v>
                </c:pt>
                <c:pt idx="9">
                  <c:v>GS</c:v>
                </c:pt>
                <c:pt idx="10">
                  <c:v>I</c:v>
                </c:pt>
                <c:pt idx="11">
                  <c:v>IG</c:v>
                </c:pt>
                <c:pt idx="12">
                  <c:v>IS</c:v>
                </c:pt>
                <c:pt idx="13">
                  <c:v>IGS</c:v>
                </c:pt>
                <c:pt idx="14">
                  <c:v>GSD</c:v>
                </c:pt>
                <c:pt idx="15">
                  <c:v>IGNORE_THIS_2</c:v>
                </c:pt>
                <c:pt idx="16">
                  <c:v>GD</c:v>
                </c:pt>
                <c:pt idx="17">
                  <c:v>GN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Ensemble</c:v>
                </c:pt>
              </c:strCache>
            </c:strRef>
          </c:cat>
          <c:val>
            <c:numRef>
              <c:f>Sheet1!$D$4:$D$25</c:f>
              <c:numCache>
                <c:formatCode>#,##0.00</c:formatCode>
                <c:ptCount val="22"/>
                <c:pt idx="0">
                  <c:v>0.415120063292368</c:v>
                </c:pt>
                <c:pt idx="1">
                  <c:v>0.49235310978310898</c:v>
                </c:pt>
                <c:pt idx="2">
                  <c:v>0.20669618095342199</c:v>
                </c:pt>
                <c:pt idx="3">
                  <c:v>0.43192968577353003</c:v>
                </c:pt>
                <c:pt idx="4">
                  <c:v>0.37482199999999999</c:v>
                </c:pt>
                <c:pt idx="5">
                  <c:v>0.41787300425477403</c:v>
                </c:pt>
                <c:pt idx="6">
                  <c:v>0.43598799999999999</c:v>
                </c:pt>
                <c:pt idx="7">
                  <c:v>0.42979400000000001</c:v>
                </c:pt>
                <c:pt idx="8" formatCode="0.00">
                  <c:v>0.38785999999999998</c:v>
                </c:pt>
                <c:pt idx="9" formatCode="0.00">
                  <c:v>0.47389100000000001</c:v>
                </c:pt>
                <c:pt idx="10" formatCode="0.00">
                  <c:v>0.15069099999999999</c:v>
                </c:pt>
                <c:pt idx="11" formatCode="0.00">
                  <c:v>0.16031699999999999</c:v>
                </c:pt>
                <c:pt idx="12" formatCode="0.00">
                  <c:v>0.15063399999999999</c:v>
                </c:pt>
                <c:pt idx="13" formatCode="General">
                  <c:v>0.156723</c:v>
                </c:pt>
                <c:pt idx="14" formatCode="General">
                  <c:v>0.44914500000000002</c:v>
                </c:pt>
                <c:pt idx="15" formatCode="General">
                  <c:v>7.6691999999999996E-2</c:v>
                </c:pt>
                <c:pt idx="16" formatCode="General">
                  <c:v>0.46866999999999998</c:v>
                </c:pt>
                <c:pt idx="17" formatCode="General">
                  <c:v>0.49924600000000002</c:v>
                </c:pt>
                <c:pt idx="18" formatCode="General">
                  <c:v>0.48116199999999998</c:v>
                </c:pt>
                <c:pt idx="19" formatCode="General">
                  <c:v>0.531725</c:v>
                </c:pt>
                <c:pt idx="20" formatCode="General">
                  <c:v>0.48981400000000003</c:v>
                </c:pt>
                <c:pt idx="21" formatCode="General">
                  <c:v>0.531725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24-4192-840A-4E7C20637F48}"/>
            </c:ext>
          </c:extLst>
        </c:ser>
        <c:ser>
          <c:idx val="3"/>
          <c:order val="3"/>
          <c:tx>
            <c:v>151510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G</c:v>
                </c:pt>
                <c:pt idx="8">
                  <c:v>IGNORE_THIS_1</c:v>
                </c:pt>
                <c:pt idx="9">
                  <c:v>GS</c:v>
                </c:pt>
                <c:pt idx="10">
                  <c:v>I</c:v>
                </c:pt>
                <c:pt idx="11">
                  <c:v>IG</c:v>
                </c:pt>
                <c:pt idx="12">
                  <c:v>IS</c:v>
                </c:pt>
                <c:pt idx="13">
                  <c:v>IGS</c:v>
                </c:pt>
                <c:pt idx="14">
                  <c:v>GSD</c:v>
                </c:pt>
                <c:pt idx="15">
                  <c:v>IGNORE_THIS_2</c:v>
                </c:pt>
                <c:pt idx="16">
                  <c:v>GD</c:v>
                </c:pt>
                <c:pt idx="17">
                  <c:v>GN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Ensemble</c:v>
                </c:pt>
              </c:strCache>
            </c:strRef>
          </c:cat>
          <c:val>
            <c:numRef>
              <c:f>Sheet1!$E$4:$E$25</c:f>
              <c:numCache>
                <c:formatCode>#,##0.00</c:formatCode>
                <c:ptCount val="22"/>
                <c:pt idx="0">
                  <c:v>0.32629475393824298</c:v>
                </c:pt>
                <c:pt idx="1">
                  <c:v>0.46124043947947302</c:v>
                </c:pt>
                <c:pt idx="2">
                  <c:v>0.211245919979618</c:v>
                </c:pt>
                <c:pt idx="3">
                  <c:v>0.42931665457645302</c:v>
                </c:pt>
                <c:pt idx="4">
                  <c:v>0.40242099999999997</c:v>
                </c:pt>
                <c:pt idx="5">
                  <c:v>0.51408600416207895</c:v>
                </c:pt>
                <c:pt idx="6">
                  <c:v>0.37124600000000002</c:v>
                </c:pt>
                <c:pt idx="7">
                  <c:v>0.47319</c:v>
                </c:pt>
                <c:pt idx="8" formatCode="0.00">
                  <c:v>0.451764</c:v>
                </c:pt>
                <c:pt idx="9" formatCode="0.00">
                  <c:v>0.60303799999999996</c:v>
                </c:pt>
                <c:pt idx="10" formatCode="0.00">
                  <c:v>0.14662</c:v>
                </c:pt>
                <c:pt idx="11" formatCode="0.00">
                  <c:v>0.15262200000000001</c:v>
                </c:pt>
                <c:pt idx="12" formatCode="0.00">
                  <c:v>0.13905899999999999</c:v>
                </c:pt>
                <c:pt idx="13" formatCode="General">
                  <c:v>0.15137600000000001</c:v>
                </c:pt>
                <c:pt idx="14" formatCode="General">
                  <c:v>0.49819400000000003</c:v>
                </c:pt>
                <c:pt idx="15" formatCode="General">
                  <c:v>8.1236000000000003E-2</c:v>
                </c:pt>
                <c:pt idx="16" formatCode="General">
                  <c:v>0.41810900000000001</c:v>
                </c:pt>
                <c:pt idx="17" formatCode="General">
                  <c:v>0.516791</c:v>
                </c:pt>
                <c:pt idx="18" formatCode="General">
                  <c:v>0.383963</c:v>
                </c:pt>
                <c:pt idx="19" formatCode="General">
                  <c:v>0.31445899999999999</c:v>
                </c:pt>
                <c:pt idx="20" formatCode="General">
                  <c:v>0.34084399999999998</c:v>
                </c:pt>
                <c:pt idx="21" formatCode="General">
                  <c:v>0.516791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24-4192-840A-4E7C20637F48}"/>
            </c:ext>
          </c:extLst>
        </c:ser>
        <c:ser>
          <c:idx val="4"/>
          <c:order val="4"/>
          <c:tx>
            <c:v>151669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G</c:v>
                </c:pt>
                <c:pt idx="8">
                  <c:v>IGNORE_THIS_1</c:v>
                </c:pt>
                <c:pt idx="9">
                  <c:v>GS</c:v>
                </c:pt>
                <c:pt idx="10">
                  <c:v>I</c:v>
                </c:pt>
                <c:pt idx="11">
                  <c:v>IG</c:v>
                </c:pt>
                <c:pt idx="12">
                  <c:v>IS</c:v>
                </c:pt>
                <c:pt idx="13">
                  <c:v>IGS</c:v>
                </c:pt>
                <c:pt idx="14">
                  <c:v>GSD</c:v>
                </c:pt>
                <c:pt idx="15">
                  <c:v>IGNORE_THIS_2</c:v>
                </c:pt>
                <c:pt idx="16">
                  <c:v>GD</c:v>
                </c:pt>
                <c:pt idx="17">
                  <c:v>GN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Ensemble</c:v>
                </c:pt>
              </c:strCache>
            </c:strRef>
          </c:cat>
          <c:val>
            <c:numRef>
              <c:f>Sheet1!$F$4:$F$25</c:f>
              <c:numCache>
                <c:formatCode>#,##0.00</c:formatCode>
                <c:ptCount val="22"/>
                <c:pt idx="0">
                  <c:v>0.30415141548833302</c:v>
                </c:pt>
                <c:pt idx="1">
                  <c:v>0.32711761410718199</c:v>
                </c:pt>
                <c:pt idx="2">
                  <c:v>0.20273962591552</c:v>
                </c:pt>
                <c:pt idx="3">
                  <c:v>0.38516539303841402</c:v>
                </c:pt>
                <c:pt idx="4">
                  <c:v>0.30031200000000002</c:v>
                </c:pt>
                <c:pt idx="5">
                  <c:v>0.42587598447171998</c:v>
                </c:pt>
                <c:pt idx="6">
                  <c:v>0.41147899999999998</c:v>
                </c:pt>
                <c:pt idx="7">
                  <c:v>0.40460800000000002</c:v>
                </c:pt>
                <c:pt idx="8" formatCode="0.00">
                  <c:v>0.43754700000000002</c:v>
                </c:pt>
                <c:pt idx="9" formatCode="0.00">
                  <c:v>0.406393</c:v>
                </c:pt>
                <c:pt idx="10" formatCode="0.00">
                  <c:v>0.17141899999999999</c:v>
                </c:pt>
                <c:pt idx="11" formatCode="0.00">
                  <c:v>0.10676099999999999</c:v>
                </c:pt>
                <c:pt idx="12" formatCode="0.00">
                  <c:v>0.156775</c:v>
                </c:pt>
                <c:pt idx="13" formatCode="General">
                  <c:v>0.183368</c:v>
                </c:pt>
                <c:pt idx="14" formatCode="General">
                  <c:v>0.54228200000000004</c:v>
                </c:pt>
                <c:pt idx="15" formatCode="General">
                  <c:v>-2.164E-2</c:v>
                </c:pt>
                <c:pt idx="16" formatCode="General">
                  <c:v>0.31986999999999999</c:v>
                </c:pt>
                <c:pt idx="17" formatCode="General">
                  <c:v>0.32839499999999999</c:v>
                </c:pt>
                <c:pt idx="18" formatCode="General">
                  <c:v>0.394563</c:v>
                </c:pt>
                <c:pt idx="19" formatCode="General">
                  <c:v>0.33756199999999997</c:v>
                </c:pt>
                <c:pt idx="20" formatCode="General">
                  <c:v>0.42769299999999999</c:v>
                </c:pt>
                <c:pt idx="21" formatCode="General">
                  <c:v>0.42769299999999999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24-4192-840A-4E7C20637F48}"/>
            </c:ext>
          </c:extLst>
        </c:ser>
        <c:ser>
          <c:idx val="5"/>
          <c:order val="5"/>
          <c:tx>
            <c:v>151670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G</c:v>
                </c:pt>
                <c:pt idx="8">
                  <c:v>IGNORE_THIS_1</c:v>
                </c:pt>
                <c:pt idx="9">
                  <c:v>GS</c:v>
                </c:pt>
                <c:pt idx="10">
                  <c:v>I</c:v>
                </c:pt>
                <c:pt idx="11">
                  <c:v>IG</c:v>
                </c:pt>
                <c:pt idx="12">
                  <c:v>IS</c:v>
                </c:pt>
                <c:pt idx="13">
                  <c:v>IGS</c:v>
                </c:pt>
                <c:pt idx="14">
                  <c:v>GSD</c:v>
                </c:pt>
                <c:pt idx="15">
                  <c:v>IGNORE_THIS_2</c:v>
                </c:pt>
                <c:pt idx="16">
                  <c:v>GD</c:v>
                </c:pt>
                <c:pt idx="17">
                  <c:v>GN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Ensemble</c:v>
                </c:pt>
              </c:strCache>
            </c:strRef>
          </c:cat>
          <c:val>
            <c:numRef>
              <c:f>Sheet1!$G$4:$G$25</c:f>
              <c:numCache>
                <c:formatCode>#,##0.00</c:formatCode>
                <c:ptCount val="22"/>
                <c:pt idx="0">
                  <c:v>0.22982204685136901</c:v>
                </c:pt>
                <c:pt idx="1">
                  <c:v>0.32673499915390802</c:v>
                </c:pt>
                <c:pt idx="2">
                  <c:v>0.171883361121973</c:v>
                </c:pt>
                <c:pt idx="3">
                  <c:v>0.50740516991162499</c:v>
                </c:pt>
                <c:pt idx="4">
                  <c:v>0.206067</c:v>
                </c:pt>
                <c:pt idx="5">
                  <c:v>0.379594529123847</c:v>
                </c:pt>
                <c:pt idx="6">
                  <c:v>0.39490500000000001</c:v>
                </c:pt>
                <c:pt idx="7">
                  <c:v>0.38750800000000002</c:v>
                </c:pt>
                <c:pt idx="8" formatCode="0.00">
                  <c:v>0.35050700000000001</c:v>
                </c:pt>
                <c:pt idx="9" formatCode="0.00">
                  <c:v>0.385745</c:v>
                </c:pt>
                <c:pt idx="10" formatCode="0.00">
                  <c:v>0.138987</c:v>
                </c:pt>
                <c:pt idx="11" formatCode="0.00">
                  <c:v>0.20189499999999999</c:v>
                </c:pt>
                <c:pt idx="12" formatCode="0.00">
                  <c:v>0.153277</c:v>
                </c:pt>
                <c:pt idx="13" formatCode="General">
                  <c:v>0.172849</c:v>
                </c:pt>
                <c:pt idx="14" formatCode="General">
                  <c:v>0.38065599999999999</c:v>
                </c:pt>
                <c:pt idx="15" formatCode="General">
                  <c:v>0.327824</c:v>
                </c:pt>
                <c:pt idx="16" formatCode="General">
                  <c:v>0.39448699999999998</c:v>
                </c:pt>
                <c:pt idx="17" formatCode="General">
                  <c:v>0.37195099999999998</c:v>
                </c:pt>
                <c:pt idx="18" formatCode="General">
                  <c:v>0.37726900000000002</c:v>
                </c:pt>
                <c:pt idx="19" formatCode="General">
                  <c:v>0.374357</c:v>
                </c:pt>
                <c:pt idx="20" formatCode="General">
                  <c:v>0.28515200000000002</c:v>
                </c:pt>
                <c:pt idx="21" formatCode="General">
                  <c:v>0.374357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24-4192-840A-4E7C20637F48}"/>
            </c:ext>
          </c:extLst>
        </c:ser>
        <c:ser>
          <c:idx val="6"/>
          <c:order val="6"/>
          <c:tx>
            <c:v>151671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G</c:v>
                </c:pt>
                <c:pt idx="8">
                  <c:v>IGNORE_THIS_1</c:v>
                </c:pt>
                <c:pt idx="9">
                  <c:v>GS</c:v>
                </c:pt>
                <c:pt idx="10">
                  <c:v>I</c:v>
                </c:pt>
                <c:pt idx="11">
                  <c:v>IG</c:v>
                </c:pt>
                <c:pt idx="12">
                  <c:v>IS</c:v>
                </c:pt>
                <c:pt idx="13">
                  <c:v>IGS</c:v>
                </c:pt>
                <c:pt idx="14">
                  <c:v>GSD</c:v>
                </c:pt>
                <c:pt idx="15">
                  <c:v>IGNORE_THIS_2</c:v>
                </c:pt>
                <c:pt idx="16">
                  <c:v>GD</c:v>
                </c:pt>
                <c:pt idx="17">
                  <c:v>GN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Ensemble</c:v>
                </c:pt>
              </c:strCache>
            </c:strRef>
          </c:cat>
          <c:val>
            <c:numRef>
              <c:f>Sheet1!$H$4:$H$25</c:f>
              <c:numCache>
                <c:formatCode>#,##0.00</c:formatCode>
                <c:ptCount val="22"/>
                <c:pt idx="0">
                  <c:v>0.37801906961704201</c:v>
                </c:pt>
                <c:pt idx="1">
                  <c:v>0.48677490600343398</c:v>
                </c:pt>
                <c:pt idx="2">
                  <c:v>0.26287716341885498</c:v>
                </c:pt>
                <c:pt idx="3">
                  <c:v>0.29513126891782498</c:v>
                </c:pt>
                <c:pt idx="4">
                  <c:v>0.37687599999999999</c:v>
                </c:pt>
                <c:pt idx="5">
                  <c:v>0.60209877082952801</c:v>
                </c:pt>
                <c:pt idx="6">
                  <c:v>0.58116599999999996</c:v>
                </c:pt>
                <c:pt idx="7">
                  <c:v>0.59926000000000001</c:v>
                </c:pt>
                <c:pt idx="8" formatCode="0.00">
                  <c:v>0.64410400000000001</c:v>
                </c:pt>
                <c:pt idx="9" formatCode="0.00">
                  <c:v>0.607155</c:v>
                </c:pt>
                <c:pt idx="10" formatCode="0.00">
                  <c:v>0.17618600000000001</c:v>
                </c:pt>
                <c:pt idx="11" formatCode="0.00">
                  <c:v>0.13755000000000001</c:v>
                </c:pt>
                <c:pt idx="12" formatCode="0.00">
                  <c:v>8.5948999999999998E-2</c:v>
                </c:pt>
                <c:pt idx="13" formatCode="General">
                  <c:v>0.15840499999999999</c:v>
                </c:pt>
                <c:pt idx="14" formatCode="General">
                  <c:v>0.58910399999999996</c:v>
                </c:pt>
                <c:pt idx="15" formatCode="General">
                  <c:v>0.56433</c:v>
                </c:pt>
                <c:pt idx="16" formatCode="General">
                  <c:v>0.54814499999999999</c:v>
                </c:pt>
                <c:pt idx="17">
                  <c:v>0.60343199999999997</c:v>
                </c:pt>
                <c:pt idx="18" formatCode="General">
                  <c:v>0.46800700000000001</c:v>
                </c:pt>
                <c:pt idx="19" formatCode="General">
                  <c:v>0.43853300000000001</c:v>
                </c:pt>
                <c:pt idx="20" formatCode="General">
                  <c:v>0.82827099999999998</c:v>
                </c:pt>
                <c:pt idx="21">
                  <c:v>0.59926000000000001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24-4192-840A-4E7C20637F48}"/>
            </c:ext>
          </c:extLst>
        </c:ser>
        <c:ser>
          <c:idx val="7"/>
          <c:order val="7"/>
          <c:tx>
            <c:v>151672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G</c:v>
                </c:pt>
                <c:pt idx="8">
                  <c:v>IGNORE_THIS_1</c:v>
                </c:pt>
                <c:pt idx="9">
                  <c:v>GS</c:v>
                </c:pt>
                <c:pt idx="10">
                  <c:v>I</c:v>
                </c:pt>
                <c:pt idx="11">
                  <c:v>IG</c:v>
                </c:pt>
                <c:pt idx="12">
                  <c:v>IS</c:v>
                </c:pt>
                <c:pt idx="13">
                  <c:v>IGS</c:v>
                </c:pt>
                <c:pt idx="14">
                  <c:v>GSD</c:v>
                </c:pt>
                <c:pt idx="15">
                  <c:v>IGNORE_THIS_2</c:v>
                </c:pt>
                <c:pt idx="16">
                  <c:v>GD</c:v>
                </c:pt>
                <c:pt idx="17">
                  <c:v>GN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Ensemble</c:v>
                </c:pt>
              </c:strCache>
            </c:strRef>
          </c:cat>
          <c:val>
            <c:numRef>
              <c:f>Sheet1!$I$4:$I$25</c:f>
              <c:numCache>
                <c:formatCode>#,##0.00</c:formatCode>
                <c:ptCount val="22"/>
                <c:pt idx="0">
                  <c:v>0.381528101607857</c:v>
                </c:pt>
                <c:pt idx="1">
                  <c:v>0.49810993193034903</c:v>
                </c:pt>
                <c:pt idx="2">
                  <c:v>0.27772180474119201</c:v>
                </c:pt>
                <c:pt idx="3">
                  <c:v>0.53625335330305102</c:v>
                </c:pt>
                <c:pt idx="4">
                  <c:v>0.50551900000000005</c:v>
                </c:pt>
                <c:pt idx="5">
                  <c:v>0.60516523423292501</c:v>
                </c:pt>
                <c:pt idx="6">
                  <c:v>0.63449900000000004</c:v>
                </c:pt>
                <c:pt idx="7">
                  <c:v>0.62194000000000005</c:v>
                </c:pt>
                <c:pt idx="8" formatCode="0.00">
                  <c:v>0.64088100000000003</c:v>
                </c:pt>
                <c:pt idx="9" formatCode="0.00">
                  <c:v>0.591692</c:v>
                </c:pt>
                <c:pt idx="10" formatCode="0.00">
                  <c:v>6.9237000000000007E-2</c:v>
                </c:pt>
                <c:pt idx="11" formatCode="0.00">
                  <c:v>9.9644999999999997E-2</c:v>
                </c:pt>
                <c:pt idx="12" formatCode="0.00">
                  <c:v>1.4813E-2</c:v>
                </c:pt>
                <c:pt idx="13" formatCode="General">
                  <c:v>0.162551</c:v>
                </c:pt>
                <c:pt idx="14" formatCode="General">
                  <c:v>0.59336199999999995</c:v>
                </c:pt>
                <c:pt idx="15" formatCode="General">
                  <c:v>0.59923400000000004</c:v>
                </c:pt>
                <c:pt idx="16" formatCode="General">
                  <c:v>0.61077300000000001</c:v>
                </c:pt>
                <c:pt idx="17">
                  <c:v>0.615815</c:v>
                </c:pt>
                <c:pt idx="18" formatCode="General">
                  <c:v>0.733985</c:v>
                </c:pt>
                <c:pt idx="19" formatCode="General">
                  <c:v>0.59107699999999996</c:v>
                </c:pt>
                <c:pt idx="20" formatCode="General">
                  <c:v>0.51103600000000005</c:v>
                </c:pt>
                <c:pt idx="21">
                  <c:v>0.51103600000000005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B24-4192-840A-4E7C20637F48}"/>
            </c:ext>
          </c:extLst>
        </c:ser>
        <c:ser>
          <c:idx val="8"/>
          <c:order val="8"/>
          <c:tx>
            <c:v>151673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G</c:v>
                </c:pt>
                <c:pt idx="8">
                  <c:v>IGNORE_THIS_1</c:v>
                </c:pt>
                <c:pt idx="9">
                  <c:v>GS</c:v>
                </c:pt>
                <c:pt idx="10">
                  <c:v>I</c:v>
                </c:pt>
                <c:pt idx="11">
                  <c:v>IG</c:v>
                </c:pt>
                <c:pt idx="12">
                  <c:v>IS</c:v>
                </c:pt>
                <c:pt idx="13">
                  <c:v>IGS</c:v>
                </c:pt>
                <c:pt idx="14">
                  <c:v>GSD</c:v>
                </c:pt>
                <c:pt idx="15">
                  <c:v>IGNORE_THIS_2</c:v>
                </c:pt>
                <c:pt idx="16">
                  <c:v>GD</c:v>
                </c:pt>
                <c:pt idx="17">
                  <c:v>GN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Ensemble</c:v>
                </c:pt>
              </c:strCache>
            </c:strRef>
          </c:cat>
          <c:val>
            <c:numRef>
              <c:f>Sheet1!$J$4:$J$25</c:f>
              <c:numCache>
                <c:formatCode>#,##0.00</c:formatCode>
                <c:ptCount val="22"/>
                <c:pt idx="0">
                  <c:v>0.50990091747229005</c:v>
                </c:pt>
                <c:pt idx="1">
                  <c:v>0.58806679086480795</c:v>
                </c:pt>
                <c:pt idx="2">
                  <c:v>0.34665472163088701</c:v>
                </c:pt>
                <c:pt idx="3">
                  <c:v>0.50654520521076096</c:v>
                </c:pt>
                <c:pt idx="4">
                  <c:v>0.48280499999999998</c:v>
                </c:pt>
                <c:pt idx="5">
                  <c:v>0.63269951896955701</c:v>
                </c:pt>
                <c:pt idx="6">
                  <c:v>0.644451</c:v>
                </c:pt>
                <c:pt idx="7">
                  <c:v>0.66126600000000002</c:v>
                </c:pt>
                <c:pt idx="8" formatCode="0.00">
                  <c:v>0.60730600000000001</c:v>
                </c:pt>
                <c:pt idx="9" formatCode="0.00">
                  <c:v>0.62080800000000003</c:v>
                </c:pt>
                <c:pt idx="10" formatCode="0.00">
                  <c:v>6.4295000000000005E-2</c:v>
                </c:pt>
                <c:pt idx="11" formatCode="0.00">
                  <c:v>0.18057699999999999</c:v>
                </c:pt>
                <c:pt idx="12" formatCode="0.00">
                  <c:v>0.134302</c:v>
                </c:pt>
                <c:pt idx="13" formatCode="General">
                  <c:v>0.241228</c:v>
                </c:pt>
                <c:pt idx="14" formatCode="General">
                  <c:v>0.60202500000000003</c:v>
                </c:pt>
                <c:pt idx="15" formatCode="General">
                  <c:v>0.18057699999999999</c:v>
                </c:pt>
                <c:pt idx="16" formatCode="General">
                  <c:v>0.44026300000000002</c:v>
                </c:pt>
                <c:pt idx="17">
                  <c:v>0.654034</c:v>
                </c:pt>
                <c:pt idx="18" formatCode="General">
                  <c:v>0.66135299999999997</c:v>
                </c:pt>
                <c:pt idx="19" formatCode="General">
                  <c:v>0.67424700000000004</c:v>
                </c:pt>
                <c:pt idx="20" formatCode="General">
                  <c:v>0.43251299999999998</c:v>
                </c:pt>
                <c:pt idx="21">
                  <c:v>0.67424700000000004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24-4192-840A-4E7C20637F48}"/>
            </c:ext>
          </c:extLst>
        </c:ser>
        <c:ser>
          <c:idx val="9"/>
          <c:order val="9"/>
          <c:tx>
            <c:v>151674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G</c:v>
                </c:pt>
                <c:pt idx="8">
                  <c:v>IGNORE_THIS_1</c:v>
                </c:pt>
                <c:pt idx="9">
                  <c:v>GS</c:v>
                </c:pt>
                <c:pt idx="10">
                  <c:v>I</c:v>
                </c:pt>
                <c:pt idx="11">
                  <c:v>IG</c:v>
                </c:pt>
                <c:pt idx="12">
                  <c:v>IS</c:v>
                </c:pt>
                <c:pt idx="13">
                  <c:v>IGS</c:v>
                </c:pt>
                <c:pt idx="14">
                  <c:v>GSD</c:v>
                </c:pt>
                <c:pt idx="15">
                  <c:v>IGNORE_THIS_2</c:v>
                </c:pt>
                <c:pt idx="16">
                  <c:v>GD</c:v>
                </c:pt>
                <c:pt idx="17">
                  <c:v>GN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Ensemble</c:v>
                </c:pt>
              </c:strCache>
            </c:strRef>
          </c:cat>
          <c:val>
            <c:numRef>
              <c:f>Sheet1!$K$4:$K$25</c:f>
              <c:numCache>
                <c:formatCode>#,##0.00</c:formatCode>
                <c:ptCount val="22"/>
                <c:pt idx="0">
                  <c:v>0.449417568277163</c:v>
                </c:pt>
                <c:pt idx="1">
                  <c:v>0.43391515873035602</c:v>
                </c:pt>
                <c:pt idx="2">
                  <c:v>0.33976310583927799</c:v>
                </c:pt>
                <c:pt idx="3">
                  <c:v>0.54265419629825395</c:v>
                </c:pt>
                <c:pt idx="4">
                  <c:v>0.412796</c:v>
                </c:pt>
                <c:pt idx="5">
                  <c:v>0.42904632702234702</c:v>
                </c:pt>
                <c:pt idx="6">
                  <c:v>0.53356899999999996</c:v>
                </c:pt>
                <c:pt idx="7">
                  <c:v>0.59170599999999995</c:v>
                </c:pt>
                <c:pt idx="8" formatCode="0.00">
                  <c:v>0.439805</c:v>
                </c:pt>
                <c:pt idx="9" formatCode="0.00">
                  <c:v>0.46113999999999999</c:v>
                </c:pt>
                <c:pt idx="10" formatCode="0.00">
                  <c:v>0.11880400000000001</c:v>
                </c:pt>
                <c:pt idx="11" formatCode="0.00">
                  <c:v>0.22972000000000001</c:v>
                </c:pt>
                <c:pt idx="12" formatCode="0.00">
                  <c:v>0.13140099999999999</c:v>
                </c:pt>
                <c:pt idx="13">
                  <c:v>0.205261</c:v>
                </c:pt>
                <c:pt idx="14" formatCode="General">
                  <c:v>0.444046</c:v>
                </c:pt>
                <c:pt idx="15" formatCode="General">
                  <c:v>0.32062499999999999</c:v>
                </c:pt>
                <c:pt idx="16" formatCode="General">
                  <c:v>0.427315</c:v>
                </c:pt>
                <c:pt idx="17">
                  <c:v>0.58416199999999996</c:v>
                </c:pt>
                <c:pt idx="18" formatCode="General">
                  <c:v>0.54572600000000004</c:v>
                </c:pt>
                <c:pt idx="19" formatCode="General">
                  <c:v>0.36371500000000001</c:v>
                </c:pt>
                <c:pt idx="20" formatCode="General">
                  <c:v>0.29630800000000002</c:v>
                </c:pt>
                <c:pt idx="21">
                  <c:v>0.59170599999999995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B24-4192-840A-4E7C20637F48}"/>
            </c:ext>
          </c:extLst>
        </c:ser>
        <c:ser>
          <c:idx val="10"/>
          <c:order val="10"/>
          <c:tx>
            <c:v>151675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Sheet1!$A$4:$A$25</c:f>
              <c:strCache>
                <c:ptCount val="22"/>
                <c:pt idx="0">
                  <c:v>conST</c:v>
                </c:pt>
                <c:pt idx="1">
                  <c:v>DeepST</c:v>
                </c:pt>
                <c:pt idx="2">
                  <c:v>SpaceFlow</c:v>
                </c:pt>
                <c:pt idx="3">
                  <c:v>STAGATE</c:v>
                </c:pt>
                <c:pt idx="4">
                  <c:v>SpaGCN</c:v>
                </c:pt>
                <c:pt idx="5">
                  <c:v>GraphST</c:v>
                </c:pt>
                <c:pt idx="6">
                  <c:v>Mclust</c:v>
                </c:pt>
                <c:pt idx="7">
                  <c:v>G</c:v>
                </c:pt>
                <c:pt idx="8">
                  <c:v>IGNORE_THIS_1</c:v>
                </c:pt>
                <c:pt idx="9">
                  <c:v>GS</c:v>
                </c:pt>
                <c:pt idx="10">
                  <c:v>I</c:v>
                </c:pt>
                <c:pt idx="11">
                  <c:v>IG</c:v>
                </c:pt>
                <c:pt idx="12">
                  <c:v>IS</c:v>
                </c:pt>
                <c:pt idx="13">
                  <c:v>IGS</c:v>
                </c:pt>
                <c:pt idx="14">
                  <c:v>GSD</c:v>
                </c:pt>
                <c:pt idx="15">
                  <c:v>IGNORE_THIS_2</c:v>
                </c:pt>
                <c:pt idx="16">
                  <c:v>GD</c:v>
                </c:pt>
                <c:pt idx="17">
                  <c:v>GN</c:v>
                </c:pt>
                <c:pt idx="18">
                  <c:v>Scatter</c:v>
                </c:pt>
                <c:pt idx="19">
                  <c:v>ACT</c:v>
                </c:pt>
                <c:pt idx="20">
                  <c:v>FACT</c:v>
                </c:pt>
                <c:pt idx="21">
                  <c:v>Ensemble</c:v>
                </c:pt>
              </c:strCache>
            </c:strRef>
          </c:cat>
          <c:val>
            <c:numRef>
              <c:f>Sheet1!$L$4:$L$25</c:f>
              <c:numCache>
                <c:formatCode>#,##0.00</c:formatCode>
                <c:ptCount val="22"/>
                <c:pt idx="0">
                  <c:v>0.43627072219624702</c:v>
                </c:pt>
                <c:pt idx="1">
                  <c:v>0.522103404143618</c:v>
                </c:pt>
                <c:pt idx="2">
                  <c:v>0.25279136707393302</c:v>
                </c:pt>
                <c:pt idx="3">
                  <c:v>0.56602542886982699</c:v>
                </c:pt>
                <c:pt idx="4">
                  <c:v>0.39316800000000002</c:v>
                </c:pt>
                <c:pt idx="5">
                  <c:v>0.48403610056781399</c:v>
                </c:pt>
                <c:pt idx="6">
                  <c:v>0.55482399999999998</c:v>
                </c:pt>
                <c:pt idx="7">
                  <c:v>0.47311300000000001</c:v>
                </c:pt>
                <c:pt idx="8" formatCode="0.00">
                  <c:v>0.47137400000000002</c:v>
                </c:pt>
                <c:pt idx="9" formatCode="0.00">
                  <c:v>0.57724900000000001</c:v>
                </c:pt>
                <c:pt idx="10" formatCode="0.00">
                  <c:v>0.11852500000000001</c:v>
                </c:pt>
                <c:pt idx="11" formatCode="0.00">
                  <c:v>0.122875</c:v>
                </c:pt>
                <c:pt idx="12" formatCode="0.00">
                  <c:v>0.14218600000000001</c:v>
                </c:pt>
                <c:pt idx="13">
                  <c:v>0.161385</c:v>
                </c:pt>
                <c:pt idx="14" formatCode="General">
                  <c:v>0.41503800000000002</c:v>
                </c:pt>
                <c:pt idx="15" formatCode="General">
                  <c:v>0.28939900000000002</c:v>
                </c:pt>
                <c:pt idx="16" formatCode="General">
                  <c:v>0.46379700000000001</c:v>
                </c:pt>
                <c:pt idx="17">
                  <c:v>0.55085099999999998</c:v>
                </c:pt>
                <c:pt idx="18" formatCode="General">
                  <c:v>0.45666600000000002</c:v>
                </c:pt>
                <c:pt idx="19" formatCode="General">
                  <c:v>0.33943299999999998</c:v>
                </c:pt>
                <c:pt idx="20" formatCode="General">
                  <c:v>0.48085099999999997</c:v>
                </c:pt>
                <c:pt idx="21">
                  <c:v>0.47311300000000001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24-4192-840A-4E7C20637F48}"/>
            </c:ext>
          </c:extLst>
        </c:ser>
        <c:ser>
          <c:idx val="11"/>
          <c:order val="11"/>
          <c:tx>
            <c:v>151676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Sheet1!$M$4:$M$25</c:f>
              <c:numCache>
                <c:formatCode>#,##0.00</c:formatCode>
                <c:ptCount val="22"/>
                <c:pt idx="0">
                  <c:v>0.39246902785822102</c:v>
                </c:pt>
                <c:pt idx="1">
                  <c:v>0.48594850730946099</c:v>
                </c:pt>
                <c:pt idx="2">
                  <c:v>0.28898047122246701</c:v>
                </c:pt>
                <c:pt idx="3">
                  <c:v>0.50526777798958</c:v>
                </c:pt>
                <c:pt idx="4">
                  <c:v>0.32176199999999999</c:v>
                </c:pt>
                <c:pt idx="5">
                  <c:v>0.56585697347747899</c:v>
                </c:pt>
                <c:pt idx="6">
                  <c:v>0.64329199999999997</c:v>
                </c:pt>
                <c:pt idx="7">
                  <c:v>0.63705999999999996</c:v>
                </c:pt>
                <c:pt idx="8" formatCode="0.00">
                  <c:v>0.47849700000000001</c:v>
                </c:pt>
                <c:pt idx="9" formatCode="0.00">
                  <c:v>0.63368899999999995</c:v>
                </c:pt>
                <c:pt idx="10" formatCode="0.00">
                  <c:v>0.13002</c:v>
                </c:pt>
                <c:pt idx="11" formatCode="0.00">
                  <c:v>0.219109</c:v>
                </c:pt>
                <c:pt idx="12" formatCode="0.00">
                  <c:v>0.12195300000000001</c:v>
                </c:pt>
                <c:pt idx="13">
                  <c:v>0.152755</c:v>
                </c:pt>
                <c:pt idx="14" formatCode="General">
                  <c:v>0.41827199999999998</c:v>
                </c:pt>
                <c:pt idx="15" formatCode="General">
                  <c:v>0.29688500000000001</c:v>
                </c:pt>
                <c:pt idx="16" formatCode="General">
                  <c:v>0.63714599999999999</c:v>
                </c:pt>
                <c:pt idx="17">
                  <c:v>0.52450699999999995</c:v>
                </c:pt>
                <c:pt idx="18" formatCode="General">
                  <c:v>0.42496299999999998</c:v>
                </c:pt>
                <c:pt idx="19" formatCode="General">
                  <c:v>0.21218799999999999</c:v>
                </c:pt>
                <c:pt idx="20" formatCode="General">
                  <c:v>0.239229</c:v>
                </c:pt>
                <c:pt idx="21">
                  <c:v>0.52450699999999995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B24-4192-840A-4E7C20637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5172991"/>
        <c:axId val="1055160991"/>
      </c:barChart>
      <c:catAx>
        <c:axId val="1055172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60991"/>
        <c:crosses val="autoZero"/>
        <c:auto val="1"/>
        <c:lblAlgn val="ctr"/>
        <c:lblOffset val="100"/>
        <c:noMultiLvlLbl val="0"/>
      </c:catAx>
      <c:valAx>
        <c:axId val="105516099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7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632558499813393"/>
          <c:y val="3.9046215262882537E-2"/>
          <c:w val="0.58248186147826309"/>
          <c:h val="0.7177268727164238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Sheet1!$B$34:$B$55</c:f>
              <c:numCache>
                <c:formatCode>#,##0.00</c:formatCode>
                <c:ptCount val="22"/>
                <c:pt idx="0">
                  <c:v>0.41706973756784599</c:v>
                </c:pt>
                <c:pt idx="1">
                  <c:v>0.64517388888419402</c:v>
                </c:pt>
                <c:pt idx="2">
                  <c:v>0.46929840638718301</c:v>
                </c:pt>
                <c:pt idx="3">
                  <c:v>0.68734566603352798</c:v>
                </c:pt>
                <c:pt idx="4">
                  <c:v>0.54142199999999996</c:v>
                </c:pt>
                <c:pt idx="5">
                  <c:v>0.64946875406839499</c:v>
                </c:pt>
                <c:pt idx="6">
                  <c:v>0.69353799999999999</c:v>
                </c:pt>
                <c:pt idx="7">
                  <c:v>0.67</c:v>
                </c:pt>
                <c:pt idx="8">
                  <c:v>0.52151700000000001</c:v>
                </c:pt>
                <c:pt idx="9">
                  <c:v>0.656362</c:v>
                </c:pt>
                <c:pt idx="10">
                  <c:v>0.15554100000000001</c:v>
                </c:pt>
                <c:pt idx="11">
                  <c:v>0.19406300000000001</c:v>
                </c:pt>
                <c:pt idx="12">
                  <c:v>0.19376299999999999</c:v>
                </c:pt>
                <c:pt idx="13">
                  <c:v>0.24448600000000001</c:v>
                </c:pt>
                <c:pt idx="14">
                  <c:v>0.63378699999999999</c:v>
                </c:pt>
                <c:pt idx="15">
                  <c:v>0.30848500000000001</c:v>
                </c:pt>
                <c:pt idx="16">
                  <c:v>0.64673499999999995</c:v>
                </c:pt>
                <c:pt idx="17">
                  <c:v>0.65122000000000002</c:v>
                </c:pt>
                <c:pt idx="18">
                  <c:v>0.62802000000000002</c:v>
                </c:pt>
                <c:pt idx="19">
                  <c:v>0.59545999999999999</c:v>
                </c:pt>
                <c:pt idx="20">
                  <c:v>0.44930999999999999</c:v>
                </c:pt>
                <c:pt idx="21">
                  <c:v>0.59545999999999999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2-45B9-8553-B9898EF4100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Sheet1!$C$34:$C$55</c:f>
              <c:numCache>
                <c:formatCode>#,##0.00</c:formatCode>
                <c:ptCount val="22"/>
                <c:pt idx="0">
                  <c:v>0.49885036263728599</c:v>
                </c:pt>
                <c:pt idx="1">
                  <c:v>0.58568763821429903</c:v>
                </c:pt>
                <c:pt idx="2">
                  <c:v>0.41310900058544497</c:v>
                </c:pt>
                <c:pt idx="3">
                  <c:v>0.58000512751177002</c:v>
                </c:pt>
                <c:pt idx="4">
                  <c:v>0.50452200000000003</c:v>
                </c:pt>
                <c:pt idx="5">
                  <c:v>0.64357453974384904</c:v>
                </c:pt>
                <c:pt idx="6">
                  <c:v>0.58291800000000005</c:v>
                </c:pt>
                <c:pt idx="7">
                  <c:v>0</c:v>
                </c:pt>
                <c:pt idx="8">
                  <c:v>0.57371300000000003</c:v>
                </c:pt>
                <c:pt idx="9">
                  <c:v>0.55319300000000005</c:v>
                </c:pt>
                <c:pt idx="10">
                  <c:v>0.23236299999999999</c:v>
                </c:pt>
                <c:pt idx="11">
                  <c:v>0.23508799999999999</c:v>
                </c:pt>
                <c:pt idx="12">
                  <c:v>0.22910800000000001</c:v>
                </c:pt>
                <c:pt idx="13">
                  <c:v>0.23711199999999999</c:v>
                </c:pt>
                <c:pt idx="14">
                  <c:v>0.57152899999999995</c:v>
                </c:pt>
                <c:pt idx="15">
                  <c:v>0.34568500000000002</c:v>
                </c:pt>
                <c:pt idx="16">
                  <c:v>0.64744999999999997</c:v>
                </c:pt>
                <c:pt idx="17">
                  <c:v>0.56614500000000001</c:v>
                </c:pt>
                <c:pt idx="18">
                  <c:v>0.54088800000000004</c:v>
                </c:pt>
                <c:pt idx="19">
                  <c:v>0.48091800000000001</c:v>
                </c:pt>
                <c:pt idx="20">
                  <c:v>0.56072699999999998</c:v>
                </c:pt>
                <c:pt idx="21">
                  <c:v>0.48091800000000001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22-45B9-8553-B9898EF4100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Sheet1!$D$34:$D$55</c:f>
              <c:numCache>
                <c:formatCode>#,##0.00</c:formatCode>
                <c:ptCount val="22"/>
                <c:pt idx="0">
                  <c:v>0.61113214583523701</c:v>
                </c:pt>
                <c:pt idx="1">
                  <c:v>0.636452802441696</c:v>
                </c:pt>
                <c:pt idx="2">
                  <c:v>0.39797721904861799</c:v>
                </c:pt>
                <c:pt idx="3">
                  <c:v>0.59008573277785303</c:v>
                </c:pt>
                <c:pt idx="4">
                  <c:v>0.53961000000000003</c:v>
                </c:pt>
                <c:pt idx="5">
                  <c:v>0.62259072971385998</c:v>
                </c:pt>
                <c:pt idx="6">
                  <c:v>0.61853899999999995</c:v>
                </c:pt>
                <c:pt idx="7">
                  <c:v>0.62</c:v>
                </c:pt>
                <c:pt idx="8">
                  <c:v>0.57292399999999999</c:v>
                </c:pt>
                <c:pt idx="9">
                  <c:v>0.62390699999999999</c:v>
                </c:pt>
                <c:pt idx="10">
                  <c:v>0.22800999999999999</c:v>
                </c:pt>
                <c:pt idx="11">
                  <c:v>0.22040999999999999</c:v>
                </c:pt>
                <c:pt idx="12">
                  <c:v>0.22659000000000001</c:v>
                </c:pt>
                <c:pt idx="13">
                  <c:v>0.25026500000000002</c:v>
                </c:pt>
                <c:pt idx="14">
                  <c:v>0.62237699999999996</c:v>
                </c:pt>
                <c:pt idx="15">
                  <c:v>0.142038</c:v>
                </c:pt>
                <c:pt idx="16">
                  <c:v>0.61230700000000005</c:v>
                </c:pt>
                <c:pt idx="17">
                  <c:v>0.63583800000000001</c:v>
                </c:pt>
                <c:pt idx="18">
                  <c:v>0.635714</c:v>
                </c:pt>
                <c:pt idx="19">
                  <c:v>0.60616099999999995</c:v>
                </c:pt>
                <c:pt idx="20">
                  <c:v>0.61905699999999997</c:v>
                </c:pt>
                <c:pt idx="21">
                  <c:v>0.60616099999999995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22-45B9-8553-B9898EF4100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Sheet1!$E$34:$E$55</c:f>
              <c:numCache>
                <c:formatCode>#,##0.00</c:formatCode>
                <c:ptCount val="22"/>
                <c:pt idx="0">
                  <c:v>0.50272828160081195</c:v>
                </c:pt>
                <c:pt idx="1">
                  <c:v>0.60911419118185695</c:v>
                </c:pt>
                <c:pt idx="2">
                  <c:v>0.38062571208344798</c:v>
                </c:pt>
                <c:pt idx="3">
                  <c:v>0.58556857796247397</c:v>
                </c:pt>
                <c:pt idx="4">
                  <c:v>0.55938500000000002</c:v>
                </c:pt>
                <c:pt idx="5">
                  <c:v>0.65180942786099605</c:v>
                </c:pt>
                <c:pt idx="6">
                  <c:v>0.53911799999999999</c:v>
                </c:pt>
                <c:pt idx="7">
                  <c:v>0.61</c:v>
                </c:pt>
                <c:pt idx="8">
                  <c:v>0.59476899999999999</c:v>
                </c:pt>
                <c:pt idx="9">
                  <c:v>0.64648899999999998</c:v>
                </c:pt>
                <c:pt idx="10">
                  <c:v>0.20679800000000001</c:v>
                </c:pt>
                <c:pt idx="11">
                  <c:v>0.21484600000000001</c:v>
                </c:pt>
                <c:pt idx="12">
                  <c:v>0.21043400000000001</c:v>
                </c:pt>
                <c:pt idx="13">
                  <c:v>0.21207899999999999</c:v>
                </c:pt>
                <c:pt idx="14">
                  <c:v>0.62958800000000004</c:v>
                </c:pt>
                <c:pt idx="15">
                  <c:v>0.19362499999999999</c:v>
                </c:pt>
                <c:pt idx="16">
                  <c:v>0.60348500000000005</c:v>
                </c:pt>
                <c:pt idx="17">
                  <c:v>0.61068199999999995</c:v>
                </c:pt>
                <c:pt idx="18">
                  <c:v>0.548508</c:v>
                </c:pt>
                <c:pt idx="19">
                  <c:v>0.40491500000000002</c:v>
                </c:pt>
                <c:pt idx="20">
                  <c:v>0.484736</c:v>
                </c:pt>
                <c:pt idx="21">
                  <c:v>0.61068199999999995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22-45B9-8553-B9898EF4100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Sheet1!$F$34:$F$55</c:f>
              <c:numCache>
                <c:formatCode>#,##0.00</c:formatCode>
                <c:ptCount val="22"/>
                <c:pt idx="0">
                  <c:v>0.56667581808553302</c:v>
                </c:pt>
                <c:pt idx="1">
                  <c:v>0.54894527519188896</c:v>
                </c:pt>
                <c:pt idx="2">
                  <c:v>0.43167892256946699</c:v>
                </c:pt>
                <c:pt idx="3">
                  <c:v>0.55058461806702497</c:v>
                </c:pt>
                <c:pt idx="4">
                  <c:v>0.45294899999999999</c:v>
                </c:pt>
                <c:pt idx="5">
                  <c:v>0.596296759994977</c:v>
                </c:pt>
                <c:pt idx="6">
                  <c:v>0.61810600000000004</c:v>
                </c:pt>
                <c:pt idx="7">
                  <c:v>0.57999999999999996</c:v>
                </c:pt>
                <c:pt idx="8">
                  <c:v>0.60464600000000002</c:v>
                </c:pt>
                <c:pt idx="9">
                  <c:v>0.61388100000000001</c:v>
                </c:pt>
                <c:pt idx="10">
                  <c:v>0.13306899999999999</c:v>
                </c:pt>
                <c:pt idx="11">
                  <c:v>0.12667900000000001</c:v>
                </c:pt>
                <c:pt idx="12">
                  <c:v>0.13147</c:v>
                </c:pt>
                <c:pt idx="13">
                  <c:v>0.140157</c:v>
                </c:pt>
                <c:pt idx="14">
                  <c:v>0.66152500000000003</c:v>
                </c:pt>
                <c:pt idx="15">
                  <c:v>6.0062999999999998E-2</c:v>
                </c:pt>
                <c:pt idx="16">
                  <c:v>0.52908599999999995</c:v>
                </c:pt>
                <c:pt idx="17">
                  <c:v>0.53338700000000006</c:v>
                </c:pt>
                <c:pt idx="18">
                  <c:v>0.59578200000000003</c:v>
                </c:pt>
                <c:pt idx="19">
                  <c:v>0.54816799999999999</c:v>
                </c:pt>
                <c:pt idx="20">
                  <c:v>0.60612200000000005</c:v>
                </c:pt>
                <c:pt idx="21">
                  <c:v>0.60612200000000005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22-45B9-8553-B9898EF41009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Sheet1!$G$34:$G$55</c:f>
              <c:numCache>
                <c:formatCode>#,##0.00</c:formatCode>
                <c:ptCount val="22"/>
                <c:pt idx="0">
                  <c:v>0.45647666549058002</c:v>
                </c:pt>
                <c:pt idx="1">
                  <c:v>0.52742797956930698</c:v>
                </c:pt>
                <c:pt idx="2">
                  <c:v>0.37757426007105999</c:v>
                </c:pt>
                <c:pt idx="3">
                  <c:v>0.639837902609947</c:v>
                </c:pt>
                <c:pt idx="4">
                  <c:v>0.43862099999999998</c:v>
                </c:pt>
                <c:pt idx="5">
                  <c:v>0.54962545286133602</c:v>
                </c:pt>
                <c:pt idx="6">
                  <c:v>0.57267199999999996</c:v>
                </c:pt>
                <c:pt idx="7">
                  <c:v>0.56999999999999995</c:v>
                </c:pt>
                <c:pt idx="8">
                  <c:v>0.55809500000000001</c:v>
                </c:pt>
                <c:pt idx="9">
                  <c:v>0.56691899999999995</c:v>
                </c:pt>
                <c:pt idx="10">
                  <c:v>0.131413</c:v>
                </c:pt>
                <c:pt idx="11">
                  <c:v>0.156581</c:v>
                </c:pt>
                <c:pt idx="12">
                  <c:v>0.14480399999999999</c:v>
                </c:pt>
                <c:pt idx="13">
                  <c:v>0.17543400000000001</c:v>
                </c:pt>
                <c:pt idx="14">
                  <c:v>0.56854400000000005</c:v>
                </c:pt>
                <c:pt idx="15">
                  <c:v>0.45187500000000003</c:v>
                </c:pt>
                <c:pt idx="16">
                  <c:v>0.57211599999999996</c:v>
                </c:pt>
                <c:pt idx="17">
                  <c:v>0.56458900000000001</c:v>
                </c:pt>
                <c:pt idx="18">
                  <c:v>0.56464700000000001</c:v>
                </c:pt>
                <c:pt idx="19">
                  <c:v>0.53537199999999996</c:v>
                </c:pt>
                <c:pt idx="20">
                  <c:v>0.44596400000000003</c:v>
                </c:pt>
                <c:pt idx="21">
                  <c:v>0.53537199999999996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22-45B9-8553-B9898EF41009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Sheet1!$H$34:$H$55</c:f>
              <c:numCache>
                <c:formatCode>#,##0.00</c:formatCode>
                <c:ptCount val="22"/>
                <c:pt idx="0">
                  <c:v>0.572282301300573</c:v>
                </c:pt>
                <c:pt idx="1">
                  <c:v>0.65446553955639797</c:v>
                </c:pt>
                <c:pt idx="2">
                  <c:v>0.41799724345016098</c:v>
                </c:pt>
                <c:pt idx="3">
                  <c:v>0.45725112366452703</c:v>
                </c:pt>
                <c:pt idx="4">
                  <c:v>0.56400700000000004</c:v>
                </c:pt>
                <c:pt idx="5">
                  <c:v>0.71898669483911404</c:v>
                </c:pt>
                <c:pt idx="6">
                  <c:v>0.68634300000000004</c:v>
                </c:pt>
                <c:pt idx="7">
                  <c:v>0.69</c:v>
                </c:pt>
                <c:pt idx="8">
                  <c:v>0.71435599999999999</c:v>
                </c:pt>
                <c:pt idx="9">
                  <c:v>0.70767199999999997</c:v>
                </c:pt>
                <c:pt idx="10">
                  <c:v>0.19732</c:v>
                </c:pt>
                <c:pt idx="11">
                  <c:v>0.20998800000000001</c:v>
                </c:pt>
                <c:pt idx="12">
                  <c:v>0.17736499999999999</c:v>
                </c:pt>
                <c:pt idx="13">
                  <c:v>0.23296500000000001</c:v>
                </c:pt>
                <c:pt idx="14">
                  <c:v>0.68274599999999996</c:v>
                </c:pt>
                <c:pt idx="15">
                  <c:v>0.68623599999999996</c:v>
                </c:pt>
                <c:pt idx="16">
                  <c:v>0.66663499999999998</c:v>
                </c:pt>
                <c:pt idx="17">
                  <c:v>0.70862999999999998</c:v>
                </c:pt>
                <c:pt idx="18">
                  <c:v>0.66737899999999994</c:v>
                </c:pt>
                <c:pt idx="19">
                  <c:v>0.59308000000000005</c:v>
                </c:pt>
                <c:pt idx="20">
                  <c:v>0.77068300000000001</c:v>
                </c:pt>
                <c:pt idx="21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22-45B9-8553-B9898EF41009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Sheet1!$I$34:$I$55</c:f>
              <c:numCache>
                <c:formatCode>#,##0.00</c:formatCode>
                <c:ptCount val="22"/>
                <c:pt idx="0">
                  <c:v>0.59439902720712401</c:v>
                </c:pt>
                <c:pt idx="1">
                  <c:v>0.63688360125757004</c:v>
                </c:pt>
                <c:pt idx="2">
                  <c:v>0.44076971317519598</c:v>
                </c:pt>
                <c:pt idx="3">
                  <c:v>0.65688237513101499</c:v>
                </c:pt>
                <c:pt idx="4">
                  <c:v>0.60863299999999998</c:v>
                </c:pt>
                <c:pt idx="5">
                  <c:v>0.70393896222989105</c:v>
                </c:pt>
                <c:pt idx="6">
                  <c:v>0.71264899999999998</c:v>
                </c:pt>
                <c:pt idx="7" formatCode="General">
                  <c:v>0.68</c:v>
                </c:pt>
                <c:pt idx="8" formatCode="General">
                  <c:v>0.69172800000000001</c:v>
                </c:pt>
                <c:pt idx="9" formatCode="General">
                  <c:v>0.67542800000000003</c:v>
                </c:pt>
                <c:pt idx="10" formatCode="General">
                  <c:v>0.18326600000000001</c:v>
                </c:pt>
                <c:pt idx="11" formatCode="General">
                  <c:v>0.276036</c:v>
                </c:pt>
                <c:pt idx="12" formatCode="General">
                  <c:v>0.151896</c:v>
                </c:pt>
                <c:pt idx="13" formatCode="General">
                  <c:v>0.28715299999999999</c:v>
                </c:pt>
                <c:pt idx="14" formatCode="General">
                  <c:v>0.67180799999999996</c:v>
                </c:pt>
                <c:pt idx="15" formatCode="General">
                  <c:v>0.68746099999999999</c:v>
                </c:pt>
                <c:pt idx="16" formatCode="General">
                  <c:v>0.68091000000000002</c:v>
                </c:pt>
                <c:pt idx="17" formatCode="General">
                  <c:v>0.68164899999999995</c:v>
                </c:pt>
                <c:pt idx="18" formatCode="General">
                  <c:v>0.712588</c:v>
                </c:pt>
                <c:pt idx="19" formatCode="General">
                  <c:v>0.67866800000000005</c:v>
                </c:pt>
                <c:pt idx="20" formatCode="General">
                  <c:v>0.60786499999999999</c:v>
                </c:pt>
                <c:pt idx="21" formatCode="General">
                  <c:v>0.60786499999999999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22-45B9-8553-B9898EF41009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Sheet1!$J$34:$J$55</c:f>
              <c:numCache>
                <c:formatCode>#,##0.00</c:formatCode>
                <c:ptCount val="22"/>
                <c:pt idx="0">
                  <c:v>0.66062845494113098</c:v>
                </c:pt>
                <c:pt idx="1">
                  <c:v>0.70901546723116904</c:v>
                </c:pt>
                <c:pt idx="2">
                  <c:v>0.49827841230305497</c:v>
                </c:pt>
                <c:pt idx="3">
                  <c:v>0.62824373821623003</c:v>
                </c:pt>
                <c:pt idx="4">
                  <c:v>0.62631499999999996</c:v>
                </c:pt>
                <c:pt idx="5">
                  <c:v>0.73245789767748504</c:v>
                </c:pt>
                <c:pt idx="6">
                  <c:v>0.69526200000000005</c:v>
                </c:pt>
                <c:pt idx="7" formatCode="General">
                  <c:v>0.73</c:v>
                </c:pt>
                <c:pt idx="8" formatCode="General">
                  <c:v>0.69874000000000003</c:v>
                </c:pt>
                <c:pt idx="9" formatCode="General">
                  <c:v>0.69468099999999999</c:v>
                </c:pt>
                <c:pt idx="10" formatCode="General">
                  <c:v>0.25445299999999998</c:v>
                </c:pt>
                <c:pt idx="11" formatCode="General">
                  <c:v>0.34403</c:v>
                </c:pt>
                <c:pt idx="12" formatCode="General">
                  <c:v>0.31126999999999999</c:v>
                </c:pt>
                <c:pt idx="13" formatCode="General">
                  <c:v>0.36125600000000002</c:v>
                </c:pt>
                <c:pt idx="14" formatCode="General">
                  <c:v>0.71032600000000001</c:v>
                </c:pt>
                <c:pt idx="15" formatCode="General">
                  <c:v>0.34403</c:v>
                </c:pt>
                <c:pt idx="16" formatCode="General">
                  <c:v>0.61582000000000003</c:v>
                </c:pt>
                <c:pt idx="17" formatCode="General">
                  <c:v>0.72949600000000003</c:v>
                </c:pt>
                <c:pt idx="18" formatCode="General">
                  <c:v>0.73515799999999998</c:v>
                </c:pt>
                <c:pt idx="19" formatCode="General">
                  <c:v>0.73592199999999997</c:v>
                </c:pt>
                <c:pt idx="20" formatCode="General">
                  <c:v>0.62121300000000002</c:v>
                </c:pt>
                <c:pt idx="21" formatCode="General">
                  <c:v>0.73592199999999997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22-45B9-8553-B9898EF41009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Sheet1!$K$34:$K$55</c:f>
              <c:numCache>
                <c:formatCode>#,##0.00</c:formatCode>
                <c:ptCount val="22"/>
                <c:pt idx="0">
                  <c:v>0.64569221433163804</c:v>
                </c:pt>
                <c:pt idx="1">
                  <c:v>0.60063174126610896</c:v>
                </c:pt>
                <c:pt idx="2">
                  <c:v>0.443379824078736</c:v>
                </c:pt>
                <c:pt idx="3">
                  <c:v>0.67026256676663598</c:v>
                </c:pt>
                <c:pt idx="4">
                  <c:v>0.52862900000000002</c:v>
                </c:pt>
                <c:pt idx="5">
                  <c:v>0.61435260234483502</c:v>
                </c:pt>
                <c:pt idx="6">
                  <c:v>0.66358899999999998</c:v>
                </c:pt>
                <c:pt idx="7" formatCode="General">
                  <c:v>0.69</c:v>
                </c:pt>
                <c:pt idx="8" formatCode="General">
                  <c:v>0.64642500000000003</c:v>
                </c:pt>
                <c:pt idx="9" formatCode="General">
                  <c:v>0.63199300000000003</c:v>
                </c:pt>
                <c:pt idx="10" formatCode="General">
                  <c:v>0.30268899999999999</c:v>
                </c:pt>
                <c:pt idx="11" formatCode="General">
                  <c:v>0.33760600000000002</c:v>
                </c:pt>
                <c:pt idx="12" formatCode="General">
                  <c:v>0.26622499999999999</c:v>
                </c:pt>
                <c:pt idx="13" formatCode="General">
                  <c:v>0.31811099999999998</c:v>
                </c:pt>
                <c:pt idx="14" formatCode="General">
                  <c:v>0.61065599999999998</c:v>
                </c:pt>
                <c:pt idx="15" formatCode="General">
                  <c:v>0.42710100000000001</c:v>
                </c:pt>
                <c:pt idx="16" formatCode="General">
                  <c:v>0.59239699999999995</c:v>
                </c:pt>
                <c:pt idx="17" formatCode="General">
                  <c:v>0.67899200000000004</c:v>
                </c:pt>
                <c:pt idx="18" formatCode="General">
                  <c:v>0.67955100000000002</c:v>
                </c:pt>
                <c:pt idx="19" formatCode="General">
                  <c:v>0.55491800000000002</c:v>
                </c:pt>
                <c:pt idx="20" formatCode="General">
                  <c:v>0.49480200000000002</c:v>
                </c:pt>
                <c:pt idx="21" formatCode="General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22-45B9-8553-B9898EF41009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Sheet1!$L$34:$L$55</c:f>
              <c:numCache>
                <c:formatCode>#,##0.00</c:formatCode>
                <c:ptCount val="22"/>
                <c:pt idx="0">
                  <c:v>0.58156027415112899</c:v>
                </c:pt>
                <c:pt idx="1">
                  <c:v>0.67141692669946895</c:v>
                </c:pt>
                <c:pt idx="2">
                  <c:v>0.38350549377748899</c:v>
                </c:pt>
                <c:pt idx="3">
                  <c:v>0.67398270711731501</c:v>
                </c:pt>
                <c:pt idx="4">
                  <c:v>0.50239100000000003</c:v>
                </c:pt>
                <c:pt idx="5">
                  <c:v>0.618645199037829</c:v>
                </c:pt>
                <c:pt idx="6">
                  <c:v>0.63737500000000002</c:v>
                </c:pt>
                <c:pt idx="7" formatCode="General">
                  <c:v>0.62</c:v>
                </c:pt>
                <c:pt idx="8" formatCode="General">
                  <c:v>0.65209799999999996</c:v>
                </c:pt>
                <c:pt idx="9" formatCode="General">
                  <c:v>0.665273</c:v>
                </c:pt>
                <c:pt idx="10" formatCode="General">
                  <c:v>0.221743</c:v>
                </c:pt>
                <c:pt idx="11" formatCode="General">
                  <c:v>0.23163900000000001</c:v>
                </c:pt>
                <c:pt idx="12" formatCode="General">
                  <c:v>0.25258599999999998</c:v>
                </c:pt>
                <c:pt idx="13" formatCode="General">
                  <c:v>0.25869399999999998</c:v>
                </c:pt>
                <c:pt idx="14" formatCode="General">
                  <c:v>0.61752399999999996</c:v>
                </c:pt>
                <c:pt idx="15" formatCode="General">
                  <c:v>0.40674199999999999</c:v>
                </c:pt>
                <c:pt idx="16" formatCode="General">
                  <c:v>0.61530499999999999</c:v>
                </c:pt>
                <c:pt idx="17" formatCode="General">
                  <c:v>0.65246099999999996</c:v>
                </c:pt>
                <c:pt idx="18" formatCode="General">
                  <c:v>0.59660999999999997</c:v>
                </c:pt>
                <c:pt idx="19" formatCode="General">
                  <c:v>0.50549999999999995</c:v>
                </c:pt>
                <c:pt idx="20" formatCode="General">
                  <c:v>0.62732100000000002</c:v>
                </c:pt>
                <c:pt idx="21" formatCode="General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22-45B9-8553-B9898EF41009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Sheet1!$M$34:$M$55</c:f>
              <c:numCache>
                <c:formatCode>#,##0.00</c:formatCode>
                <c:ptCount val="22"/>
                <c:pt idx="0">
                  <c:v>0.55201118521304604</c:v>
                </c:pt>
                <c:pt idx="1">
                  <c:v>0.67256372918963103</c:v>
                </c:pt>
                <c:pt idx="2">
                  <c:v>0.4145961202415</c:v>
                </c:pt>
                <c:pt idx="3">
                  <c:v>0.62755660400356195</c:v>
                </c:pt>
                <c:pt idx="4">
                  <c:v>0.50408299999999995</c:v>
                </c:pt>
                <c:pt idx="5">
                  <c:v>0.65704174390812897</c:v>
                </c:pt>
                <c:pt idx="6">
                  <c:v>0.695469</c:v>
                </c:pt>
                <c:pt idx="7" formatCode="General">
                  <c:v>0.69</c:v>
                </c:pt>
                <c:pt idx="8" formatCode="General">
                  <c:v>0.59092</c:v>
                </c:pt>
                <c:pt idx="9" formatCode="General">
                  <c:v>0.69140900000000005</c:v>
                </c:pt>
                <c:pt idx="10" formatCode="General">
                  <c:v>0.26608999999999999</c:v>
                </c:pt>
                <c:pt idx="11" formatCode="General">
                  <c:v>0.320938</c:v>
                </c:pt>
                <c:pt idx="12" formatCode="General">
                  <c:v>0.25338100000000002</c:v>
                </c:pt>
                <c:pt idx="13" formatCode="General">
                  <c:v>0.29810999999999999</c:v>
                </c:pt>
                <c:pt idx="14" formatCode="General">
                  <c:v>0.58826999999999996</c:v>
                </c:pt>
                <c:pt idx="15" formatCode="General">
                  <c:v>0.39013700000000001</c:v>
                </c:pt>
                <c:pt idx="16" formatCode="General">
                  <c:v>0.69180399999999997</c:v>
                </c:pt>
                <c:pt idx="17" formatCode="General">
                  <c:v>0.63671299999999997</c:v>
                </c:pt>
                <c:pt idx="18" formatCode="General">
                  <c:v>0.57184400000000002</c:v>
                </c:pt>
                <c:pt idx="19" formatCode="General">
                  <c:v>0.40882499999999999</c:v>
                </c:pt>
                <c:pt idx="20" formatCode="General">
                  <c:v>0.38572099999999998</c:v>
                </c:pt>
                <c:pt idx="21" formatCode="General">
                  <c:v>0.63671299999999997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822-45B9-8553-B9898EF41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5007344"/>
        <c:axId val="665006864"/>
      </c:barChart>
      <c:catAx>
        <c:axId val="665007344"/>
        <c:scaling>
          <c:orientation val="minMax"/>
        </c:scaling>
        <c:delete val="1"/>
        <c:axPos val="l"/>
        <c:majorTickMark val="none"/>
        <c:minorTickMark val="none"/>
        <c:tickLblPos val="nextTo"/>
        <c:crossAx val="665006864"/>
        <c:crosses val="autoZero"/>
        <c:auto val="1"/>
        <c:lblAlgn val="ctr"/>
        <c:lblOffset val="100"/>
        <c:noMultiLvlLbl val="0"/>
      </c:catAx>
      <c:valAx>
        <c:axId val="6650068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00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Sheet1!$B$67:$B$88</c:f>
              <c:numCache>
                <c:formatCode>#,##0.00</c:formatCode>
                <c:ptCount val="22"/>
                <c:pt idx="0">
                  <c:v>0.41586463065011098</c:v>
                </c:pt>
                <c:pt idx="1">
                  <c:v>0.63907378217758803</c:v>
                </c:pt>
                <c:pt idx="2">
                  <c:v>0.45621382227020102</c:v>
                </c:pt>
                <c:pt idx="3">
                  <c:v>0.68704877728260905</c:v>
                </c:pt>
                <c:pt idx="4">
                  <c:v>0.56288899999999997</c:v>
                </c:pt>
                <c:pt idx="5">
                  <c:v>0.67524747095747195</c:v>
                </c:pt>
                <c:pt idx="6">
                  <c:v>0.70649499999999998</c:v>
                </c:pt>
                <c:pt idx="7" formatCode="General">
                  <c:v>0.67</c:v>
                </c:pt>
                <c:pt idx="8" formatCode="General">
                  <c:v>0.57173799999999997</c:v>
                </c:pt>
                <c:pt idx="9" formatCode="General">
                  <c:v>0.66758499999999998</c:v>
                </c:pt>
                <c:pt idx="10" formatCode="General">
                  <c:v>0.17144599999999999</c:v>
                </c:pt>
                <c:pt idx="11" formatCode="General">
                  <c:v>0.23935899999999999</c:v>
                </c:pt>
                <c:pt idx="12" formatCode="General">
                  <c:v>0.23514699999999999</c:v>
                </c:pt>
                <c:pt idx="13" formatCode="General">
                  <c:v>0.26137700000000003</c:v>
                </c:pt>
                <c:pt idx="14" formatCode="General">
                  <c:v>0.67319200000000001</c:v>
                </c:pt>
                <c:pt idx="15" formatCode="General">
                  <c:v>0.34351399999999999</c:v>
                </c:pt>
                <c:pt idx="16" formatCode="General">
                  <c:v>0.67080600000000001</c:v>
                </c:pt>
                <c:pt idx="17" formatCode="General">
                  <c:v>0.70731100000000002</c:v>
                </c:pt>
                <c:pt idx="18" formatCode="General">
                  <c:v>0.66309600000000002</c:v>
                </c:pt>
                <c:pt idx="19" formatCode="General">
                  <c:v>0.67035599999999995</c:v>
                </c:pt>
                <c:pt idx="20" formatCode="General">
                  <c:v>0.53165399999999996</c:v>
                </c:pt>
                <c:pt idx="21" formatCode="General">
                  <c:v>0.67035599999999995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3-45B7-8E69-F7BFAB0DCEF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Sheet1!$C$67:$C$88</c:f>
              <c:numCache>
                <c:formatCode>#,##0.00</c:formatCode>
                <c:ptCount val="22"/>
                <c:pt idx="0">
                  <c:v>0.51257158443258199</c:v>
                </c:pt>
                <c:pt idx="1">
                  <c:v>0.56530687133061697</c:v>
                </c:pt>
                <c:pt idx="2">
                  <c:v>0.39563518960715299</c:v>
                </c:pt>
                <c:pt idx="3">
                  <c:v>0.58090549023549398</c:v>
                </c:pt>
                <c:pt idx="4">
                  <c:v>0.49410700000000002</c:v>
                </c:pt>
                <c:pt idx="5">
                  <c:v>0.64430453662751896</c:v>
                </c:pt>
                <c:pt idx="6">
                  <c:v>0.59060400000000002</c:v>
                </c:pt>
                <c:pt idx="7" formatCode="General">
                  <c:v>0</c:v>
                </c:pt>
                <c:pt idx="8" formatCode="General">
                  <c:v>0.63519300000000001</c:v>
                </c:pt>
                <c:pt idx="9" formatCode="General">
                  <c:v>0.59606499999999996</c:v>
                </c:pt>
                <c:pt idx="10" formatCode="General">
                  <c:v>0.269654</c:v>
                </c:pt>
                <c:pt idx="11" formatCode="General">
                  <c:v>0.27720699999999998</c:v>
                </c:pt>
                <c:pt idx="12" formatCode="General">
                  <c:v>0.27084000000000003</c:v>
                </c:pt>
                <c:pt idx="13" formatCode="General">
                  <c:v>0.278779</c:v>
                </c:pt>
                <c:pt idx="14" formatCode="General">
                  <c:v>0.61879600000000001</c:v>
                </c:pt>
                <c:pt idx="15" formatCode="General">
                  <c:v>0.35993199999999997</c:v>
                </c:pt>
                <c:pt idx="16" formatCode="General">
                  <c:v>0.65911299999999995</c:v>
                </c:pt>
                <c:pt idx="17" formatCode="General">
                  <c:v>0.61575000000000002</c:v>
                </c:pt>
                <c:pt idx="18" formatCode="General">
                  <c:v>0.58702299999999996</c:v>
                </c:pt>
                <c:pt idx="19" formatCode="General">
                  <c:v>0.51677499999999998</c:v>
                </c:pt>
                <c:pt idx="20" formatCode="General">
                  <c:v>0.670099</c:v>
                </c:pt>
                <c:pt idx="21" formatCode="General">
                  <c:v>0.51677499999999998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D3-45B7-8E69-F7BFAB0DCEF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Sheet1!$D$67:$D$88</c:f>
              <c:numCache>
                <c:formatCode>#,##0.00</c:formatCode>
                <c:ptCount val="22"/>
                <c:pt idx="0">
                  <c:v>0.65548259763568695</c:v>
                </c:pt>
                <c:pt idx="1">
                  <c:v>0.60631948013977999</c:v>
                </c:pt>
                <c:pt idx="2">
                  <c:v>0.36579974379945501</c:v>
                </c:pt>
                <c:pt idx="3">
                  <c:v>0.58819749008153399</c:v>
                </c:pt>
                <c:pt idx="4">
                  <c:v>0.51331199999999999</c:v>
                </c:pt>
                <c:pt idx="5">
                  <c:v>0.62751400907948796</c:v>
                </c:pt>
                <c:pt idx="6">
                  <c:v>0.65276100000000004</c:v>
                </c:pt>
                <c:pt idx="7" formatCode="General">
                  <c:v>0.68</c:v>
                </c:pt>
                <c:pt idx="8" formatCode="General">
                  <c:v>0.63287000000000004</c:v>
                </c:pt>
                <c:pt idx="9" formatCode="General">
                  <c:v>0.68359099999999995</c:v>
                </c:pt>
                <c:pt idx="10" formatCode="General">
                  <c:v>0.25430599999999998</c:v>
                </c:pt>
                <c:pt idx="11" formatCode="General">
                  <c:v>0.290188</c:v>
                </c:pt>
                <c:pt idx="12" formatCode="General">
                  <c:v>0.25236399999999998</c:v>
                </c:pt>
                <c:pt idx="13" formatCode="General">
                  <c:v>0.274974</c:v>
                </c:pt>
                <c:pt idx="14" formatCode="General">
                  <c:v>0.685446</c:v>
                </c:pt>
                <c:pt idx="15" formatCode="General">
                  <c:v>0.14312900000000001</c:v>
                </c:pt>
                <c:pt idx="16" formatCode="General">
                  <c:v>0.62228499999999998</c:v>
                </c:pt>
                <c:pt idx="17" formatCode="General">
                  <c:v>0.64814899999999998</c:v>
                </c:pt>
                <c:pt idx="18" formatCode="General">
                  <c:v>0.63359900000000002</c:v>
                </c:pt>
                <c:pt idx="19" formatCode="General">
                  <c:v>0.63124199999999997</c:v>
                </c:pt>
                <c:pt idx="20" formatCode="General">
                  <c:v>0.64307000000000003</c:v>
                </c:pt>
                <c:pt idx="21" formatCode="General">
                  <c:v>0.63124199999999997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D3-45B7-8E69-F7BFAB0DCEF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Sheet1!$E$67:$E$88</c:f>
              <c:numCache>
                <c:formatCode>#,##0.00</c:formatCode>
                <c:ptCount val="22"/>
                <c:pt idx="0">
                  <c:v>0.54065153994743198</c:v>
                </c:pt>
                <c:pt idx="1">
                  <c:v>0.57326793897833905</c:v>
                </c:pt>
                <c:pt idx="2">
                  <c:v>0.34907745828236297</c:v>
                </c:pt>
                <c:pt idx="3">
                  <c:v>0.58409659883182896</c:v>
                </c:pt>
                <c:pt idx="4">
                  <c:v>0.52653000000000005</c:v>
                </c:pt>
                <c:pt idx="5">
                  <c:v>0.65811862693442802</c:v>
                </c:pt>
                <c:pt idx="6">
                  <c:v>0.59911899999999996</c:v>
                </c:pt>
                <c:pt idx="7" formatCode="General">
                  <c:v>0.8</c:v>
                </c:pt>
                <c:pt idx="8" formatCode="General">
                  <c:v>0.58661399999999997</c:v>
                </c:pt>
                <c:pt idx="9" formatCode="General">
                  <c:v>0.70813099999999995</c:v>
                </c:pt>
                <c:pt idx="10" formatCode="General">
                  <c:v>0.22289500000000001</c:v>
                </c:pt>
                <c:pt idx="11" formatCode="General">
                  <c:v>0.22845199999999999</c:v>
                </c:pt>
                <c:pt idx="12" formatCode="General">
                  <c:v>0.23296900000000001</c:v>
                </c:pt>
                <c:pt idx="13" formatCode="General">
                  <c:v>0.22494900000000001</c:v>
                </c:pt>
                <c:pt idx="14" formatCode="General">
                  <c:v>0.63146400000000003</c:v>
                </c:pt>
                <c:pt idx="15" formatCode="General">
                  <c:v>0.194748</c:v>
                </c:pt>
                <c:pt idx="16" formatCode="General">
                  <c:v>0.617919</c:v>
                </c:pt>
                <c:pt idx="17" formatCode="General">
                  <c:v>0.61091399999999996</c:v>
                </c:pt>
                <c:pt idx="18" formatCode="General">
                  <c:v>0.60740300000000003</c:v>
                </c:pt>
                <c:pt idx="19" formatCode="General">
                  <c:v>0.41681600000000002</c:v>
                </c:pt>
                <c:pt idx="20" formatCode="General">
                  <c:v>0.72606599999999999</c:v>
                </c:pt>
                <c:pt idx="21" formatCode="General">
                  <c:v>0.61091399999999996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D3-45B7-8E69-F7BFAB0DCEF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Sheet1!$F$67:$F$88</c:f>
              <c:numCache>
                <c:formatCode>#,##0.00</c:formatCode>
                <c:ptCount val="22"/>
                <c:pt idx="0">
                  <c:v>0.68428902098616595</c:v>
                </c:pt>
                <c:pt idx="1">
                  <c:v>0.45643409368532001</c:v>
                </c:pt>
                <c:pt idx="2">
                  <c:v>0.356474623654153</c:v>
                </c:pt>
                <c:pt idx="3">
                  <c:v>0.54229877938471804</c:v>
                </c:pt>
                <c:pt idx="4">
                  <c:v>0.40214100000000003</c:v>
                </c:pt>
                <c:pt idx="5">
                  <c:v>0.51898924807611901</c:v>
                </c:pt>
                <c:pt idx="6">
                  <c:v>0.52845699999999995</c:v>
                </c:pt>
                <c:pt idx="7" formatCode="General">
                  <c:v>0.49</c:v>
                </c:pt>
                <c:pt idx="8" formatCode="General">
                  <c:v>0.53629599999999999</c:v>
                </c:pt>
                <c:pt idx="9" formatCode="General">
                  <c:v>0.52539199999999997</c:v>
                </c:pt>
                <c:pt idx="10" formatCode="General">
                  <c:v>0.15204000000000001</c:v>
                </c:pt>
                <c:pt idx="11" formatCode="General">
                  <c:v>0.12198299999999999</c:v>
                </c:pt>
                <c:pt idx="12" formatCode="General">
                  <c:v>0.14285200000000001</c:v>
                </c:pt>
                <c:pt idx="13" formatCode="General">
                  <c:v>0.15973599999999999</c:v>
                </c:pt>
                <c:pt idx="14" formatCode="General">
                  <c:v>0.59867099999999995</c:v>
                </c:pt>
                <c:pt idx="15" formatCode="General">
                  <c:v>0.114028</c:v>
                </c:pt>
                <c:pt idx="16" formatCode="General">
                  <c:v>0.477661</c:v>
                </c:pt>
                <c:pt idx="17" formatCode="General">
                  <c:v>0.483379</c:v>
                </c:pt>
                <c:pt idx="18" formatCode="General">
                  <c:v>0.520617</c:v>
                </c:pt>
                <c:pt idx="19" formatCode="General">
                  <c:v>0.49821500000000002</c:v>
                </c:pt>
                <c:pt idx="20" formatCode="General">
                  <c:v>0.53928299999999996</c:v>
                </c:pt>
                <c:pt idx="21" formatCode="General">
                  <c:v>0.53928299999999996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D3-45B7-8E69-F7BFAB0DCEF9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Sheet1!$G$67:$G$88</c:f>
              <c:numCache>
                <c:formatCode>#,##0.00</c:formatCode>
                <c:ptCount val="22"/>
                <c:pt idx="0">
                  <c:v>0.60346422512134001</c:v>
                </c:pt>
                <c:pt idx="1">
                  <c:v>0.435169825274838</c:v>
                </c:pt>
                <c:pt idx="2">
                  <c:v>0.302582119365298</c:v>
                </c:pt>
                <c:pt idx="3">
                  <c:v>0.63719727857967101</c:v>
                </c:pt>
                <c:pt idx="4">
                  <c:v>0.34967500000000001</c:v>
                </c:pt>
                <c:pt idx="5">
                  <c:v>0.46016533307467</c:v>
                </c:pt>
                <c:pt idx="6">
                  <c:v>0.48028599999999999</c:v>
                </c:pt>
                <c:pt idx="7" formatCode="General">
                  <c:v>0.48</c:v>
                </c:pt>
                <c:pt idx="8" formatCode="General">
                  <c:v>0.46827999999999997</c:v>
                </c:pt>
                <c:pt idx="9" formatCode="General">
                  <c:v>0.47781699999999999</c:v>
                </c:pt>
                <c:pt idx="10" formatCode="General">
                  <c:v>0.123958</c:v>
                </c:pt>
                <c:pt idx="11" formatCode="General">
                  <c:v>0.18021499999999999</c:v>
                </c:pt>
                <c:pt idx="12" formatCode="General">
                  <c:v>0.14450099999999999</c:v>
                </c:pt>
                <c:pt idx="13" formatCode="General">
                  <c:v>0.20547399999999999</c:v>
                </c:pt>
                <c:pt idx="14" formatCode="General">
                  <c:v>0.47853099999999998</c:v>
                </c:pt>
                <c:pt idx="15" formatCode="General">
                  <c:v>0.42572399999999999</c:v>
                </c:pt>
                <c:pt idx="16" formatCode="General">
                  <c:v>0.48229</c:v>
                </c:pt>
                <c:pt idx="17" formatCode="General">
                  <c:v>0.47376000000000001</c:v>
                </c:pt>
                <c:pt idx="18" formatCode="General">
                  <c:v>0.47467999999999999</c:v>
                </c:pt>
                <c:pt idx="19" formatCode="General">
                  <c:v>0.45987</c:v>
                </c:pt>
                <c:pt idx="20" formatCode="General">
                  <c:v>0.41153099999999998</c:v>
                </c:pt>
                <c:pt idx="21" formatCode="General">
                  <c:v>0.45987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D3-45B7-8E69-F7BFAB0DCEF9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Sheet1!$H$67:$H$88</c:f>
              <c:numCache>
                <c:formatCode>#,##0.00</c:formatCode>
                <c:ptCount val="22"/>
                <c:pt idx="0">
                  <c:v>0.66588905199685999</c:v>
                </c:pt>
                <c:pt idx="1">
                  <c:v>0.58256595897740604</c:v>
                </c:pt>
                <c:pt idx="2">
                  <c:v>0.361046850095191</c:v>
                </c:pt>
                <c:pt idx="3">
                  <c:v>0.45629760243877099</c:v>
                </c:pt>
                <c:pt idx="4">
                  <c:v>0.48559400000000003</c:v>
                </c:pt>
                <c:pt idx="5">
                  <c:v>0.65072944267515798</c:v>
                </c:pt>
                <c:pt idx="6">
                  <c:v>0.61801099999999998</c:v>
                </c:pt>
                <c:pt idx="7" formatCode="General">
                  <c:v>0.62</c:v>
                </c:pt>
                <c:pt idx="8" formatCode="General">
                  <c:v>0.66095700000000002</c:v>
                </c:pt>
                <c:pt idx="9" formatCode="General">
                  <c:v>0.64692899999999998</c:v>
                </c:pt>
                <c:pt idx="10" formatCode="General">
                  <c:v>0.19853199999999999</c:v>
                </c:pt>
                <c:pt idx="11" formatCode="General">
                  <c:v>0.20231299999999999</c:v>
                </c:pt>
                <c:pt idx="12" formatCode="General">
                  <c:v>0.17391200000000001</c:v>
                </c:pt>
                <c:pt idx="13" formatCode="General">
                  <c:v>0.22377900000000001</c:v>
                </c:pt>
                <c:pt idx="14" formatCode="General">
                  <c:v>0.613958</c:v>
                </c:pt>
                <c:pt idx="15" formatCode="General">
                  <c:v>0.63812000000000002</c:v>
                </c:pt>
                <c:pt idx="16" formatCode="General">
                  <c:v>0.59753800000000001</c:v>
                </c:pt>
                <c:pt idx="17" formatCode="General">
                  <c:v>0.64707899999999996</c:v>
                </c:pt>
                <c:pt idx="18" formatCode="General">
                  <c:v>0.58471399999999996</c:v>
                </c:pt>
                <c:pt idx="19" formatCode="General">
                  <c:v>0.60870999999999997</c:v>
                </c:pt>
                <c:pt idx="20" formatCode="General">
                  <c:v>0.787296</c:v>
                </c:pt>
                <c:pt idx="21" formatCode="General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D3-45B7-8E69-F7BFAB0DCEF9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Sheet1!$I$67:$I$88</c:f>
              <c:numCache>
                <c:formatCode>#,##0.00</c:formatCode>
                <c:ptCount val="22"/>
                <c:pt idx="0">
                  <c:v>0.68778915619292402</c:v>
                </c:pt>
                <c:pt idx="1">
                  <c:v>0.57938365560042804</c:v>
                </c:pt>
                <c:pt idx="2">
                  <c:v>0.39721880663690701</c:v>
                </c:pt>
                <c:pt idx="3">
                  <c:v>0.64859911460402397</c:v>
                </c:pt>
                <c:pt idx="4">
                  <c:v>0.55671899999999996</c:v>
                </c:pt>
                <c:pt idx="5">
                  <c:v>0.63975361337270498</c:v>
                </c:pt>
                <c:pt idx="6">
                  <c:v>0.72723300000000002</c:v>
                </c:pt>
                <c:pt idx="7" formatCode="General">
                  <c:v>0.65</c:v>
                </c:pt>
                <c:pt idx="8" formatCode="General">
                  <c:v>0.66037500000000005</c:v>
                </c:pt>
                <c:pt idx="9" formatCode="General">
                  <c:v>0.64049</c:v>
                </c:pt>
                <c:pt idx="10" formatCode="General">
                  <c:v>0.23965900000000001</c:v>
                </c:pt>
                <c:pt idx="11" formatCode="General">
                  <c:v>0.34348299999999998</c:v>
                </c:pt>
                <c:pt idx="12" formatCode="General">
                  <c:v>0.182555</c:v>
                </c:pt>
                <c:pt idx="13" formatCode="General">
                  <c:v>0.29431200000000002</c:v>
                </c:pt>
                <c:pt idx="14" formatCode="General">
                  <c:v>0.64029899999999995</c:v>
                </c:pt>
                <c:pt idx="15" formatCode="General">
                  <c:v>0.68112300000000003</c:v>
                </c:pt>
                <c:pt idx="16" formatCode="General">
                  <c:v>0.64978400000000003</c:v>
                </c:pt>
                <c:pt idx="17" formatCode="General">
                  <c:v>0.65229199999999998</c:v>
                </c:pt>
                <c:pt idx="18" formatCode="General">
                  <c:v>0.70217799999999997</c:v>
                </c:pt>
                <c:pt idx="19" formatCode="General">
                  <c:v>0.65633900000000001</c:v>
                </c:pt>
                <c:pt idx="20" formatCode="General">
                  <c:v>0.58750500000000005</c:v>
                </c:pt>
                <c:pt idx="21" formatCode="General">
                  <c:v>0.58750500000000005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D3-45B7-8E69-F7BFAB0DCEF9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Sheet1!$J$67:$J$88</c:f>
              <c:numCache>
                <c:formatCode>#,##0.00</c:formatCode>
                <c:ptCount val="22"/>
                <c:pt idx="0">
                  <c:v>0.67156086603399701</c:v>
                </c:pt>
                <c:pt idx="1">
                  <c:v>0.69144483384877498</c:v>
                </c:pt>
                <c:pt idx="2">
                  <c:v>0.482374110709957</c:v>
                </c:pt>
                <c:pt idx="3">
                  <c:v>0.62536338505456501</c:v>
                </c:pt>
                <c:pt idx="4">
                  <c:v>0.60779300000000003</c:v>
                </c:pt>
                <c:pt idx="5">
                  <c:v>0.71720661737711899</c:v>
                </c:pt>
                <c:pt idx="6">
                  <c:v>0.64207199999999998</c:v>
                </c:pt>
                <c:pt idx="7" formatCode="General">
                  <c:v>0.75</c:v>
                </c:pt>
                <c:pt idx="8" formatCode="General">
                  <c:v>0.69900399999999996</c:v>
                </c:pt>
                <c:pt idx="9" formatCode="General">
                  <c:v>0.73043800000000003</c:v>
                </c:pt>
                <c:pt idx="10" formatCode="General">
                  <c:v>0.41692699999999999</c:v>
                </c:pt>
                <c:pt idx="11" formatCode="General">
                  <c:v>0.415802</c:v>
                </c:pt>
                <c:pt idx="12" formatCode="General">
                  <c:v>0.45984399999999997</c:v>
                </c:pt>
                <c:pt idx="13" formatCode="General">
                  <c:v>0.44007400000000002</c:v>
                </c:pt>
                <c:pt idx="14" formatCode="General">
                  <c:v>0.70317600000000002</c:v>
                </c:pt>
                <c:pt idx="15" formatCode="General">
                  <c:v>0.415802</c:v>
                </c:pt>
                <c:pt idx="16" formatCode="General">
                  <c:v>0.708117</c:v>
                </c:pt>
                <c:pt idx="17" formatCode="General">
                  <c:v>0.74643599999999999</c:v>
                </c:pt>
                <c:pt idx="18" formatCode="General">
                  <c:v>0.75063899999999995</c:v>
                </c:pt>
                <c:pt idx="19" formatCode="General">
                  <c:v>0.75435600000000003</c:v>
                </c:pt>
                <c:pt idx="20" formatCode="General">
                  <c:v>0.68689199999999995</c:v>
                </c:pt>
                <c:pt idx="21" formatCode="General">
                  <c:v>0.75435600000000003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D3-45B7-8E69-F7BFAB0DCEF9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Sheet1!$K$67:$K$88</c:f>
              <c:numCache>
                <c:formatCode>#,##0.00</c:formatCode>
                <c:ptCount val="22"/>
                <c:pt idx="0">
                  <c:v>0.64319184660338902</c:v>
                </c:pt>
                <c:pt idx="1">
                  <c:v>0.61895991391611505</c:v>
                </c:pt>
                <c:pt idx="2">
                  <c:v>0.43286671012342398</c:v>
                </c:pt>
                <c:pt idx="3">
                  <c:v>0.67009056086687602</c:v>
                </c:pt>
                <c:pt idx="4">
                  <c:v>0.51673400000000003</c:v>
                </c:pt>
                <c:pt idx="5">
                  <c:v>0.61437561524454898</c:v>
                </c:pt>
                <c:pt idx="6">
                  <c:v>0.65667500000000001</c:v>
                </c:pt>
                <c:pt idx="7" formatCode="General">
                  <c:v>0.7</c:v>
                </c:pt>
                <c:pt idx="8" formatCode="General">
                  <c:v>0.67390799999999995</c:v>
                </c:pt>
                <c:pt idx="9" formatCode="General">
                  <c:v>0.69793300000000003</c:v>
                </c:pt>
                <c:pt idx="10" formatCode="General">
                  <c:v>0.38755099999999998</c:v>
                </c:pt>
                <c:pt idx="11" formatCode="General">
                  <c:v>0.38839000000000001</c:v>
                </c:pt>
                <c:pt idx="12" formatCode="General">
                  <c:v>0.331513</c:v>
                </c:pt>
                <c:pt idx="13" formatCode="General">
                  <c:v>0.377722</c:v>
                </c:pt>
                <c:pt idx="14" formatCode="General">
                  <c:v>0.65834099999999995</c:v>
                </c:pt>
                <c:pt idx="15" formatCode="General">
                  <c:v>0.44541500000000001</c:v>
                </c:pt>
                <c:pt idx="16" formatCode="General">
                  <c:v>0.60422699999999996</c:v>
                </c:pt>
                <c:pt idx="17" formatCode="General">
                  <c:v>0.69286899999999996</c:v>
                </c:pt>
                <c:pt idx="18" formatCode="General">
                  <c:v>0.69874400000000003</c:v>
                </c:pt>
                <c:pt idx="19" formatCode="General">
                  <c:v>0.63082300000000002</c:v>
                </c:pt>
                <c:pt idx="20" formatCode="General">
                  <c:v>0.57091599999999998</c:v>
                </c:pt>
                <c:pt idx="21" formatCode="General">
                  <c:v>0.63082300000000002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4D3-45B7-8E69-F7BFAB0DCEF9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Sheet1!$L$67:$L$88</c:f>
              <c:numCache>
                <c:formatCode>#,##0.00</c:formatCode>
                <c:ptCount val="22"/>
                <c:pt idx="0">
                  <c:v>0.58786189756305596</c:v>
                </c:pt>
                <c:pt idx="1">
                  <c:v>0.66906102342657903</c:v>
                </c:pt>
                <c:pt idx="2">
                  <c:v>0.376579335094404</c:v>
                </c:pt>
                <c:pt idx="3">
                  <c:v>0.66818853697623903</c:v>
                </c:pt>
                <c:pt idx="4">
                  <c:v>0.49852999999999997</c:v>
                </c:pt>
                <c:pt idx="5">
                  <c:v>0.62379814428510705</c:v>
                </c:pt>
                <c:pt idx="6">
                  <c:v>0.63813900000000001</c:v>
                </c:pt>
                <c:pt idx="7" formatCode="General">
                  <c:v>0.67</c:v>
                </c:pt>
                <c:pt idx="8" formatCode="General">
                  <c:v>0.74329299999999998</c:v>
                </c:pt>
                <c:pt idx="9" formatCode="General">
                  <c:v>0.70858100000000002</c:v>
                </c:pt>
                <c:pt idx="10" formatCode="General">
                  <c:v>0.26798499999999997</c:v>
                </c:pt>
                <c:pt idx="11" formatCode="General">
                  <c:v>0.28028900000000001</c:v>
                </c:pt>
                <c:pt idx="12" formatCode="General">
                  <c:v>0.28993799999999997</c:v>
                </c:pt>
                <c:pt idx="13" formatCode="General">
                  <c:v>0.28442499999999998</c:v>
                </c:pt>
                <c:pt idx="14" formatCode="General">
                  <c:v>0.66155200000000003</c:v>
                </c:pt>
                <c:pt idx="15" formatCode="General">
                  <c:v>0.42944100000000002</c:v>
                </c:pt>
                <c:pt idx="16" formatCode="General">
                  <c:v>0.670655</c:v>
                </c:pt>
                <c:pt idx="17" formatCode="General">
                  <c:v>0.71200399999999997</c:v>
                </c:pt>
                <c:pt idx="18" formatCode="General">
                  <c:v>0.65818100000000002</c:v>
                </c:pt>
                <c:pt idx="19" formatCode="General">
                  <c:v>0.57371099999999997</c:v>
                </c:pt>
                <c:pt idx="20" formatCode="General">
                  <c:v>0.70518999999999998</c:v>
                </c:pt>
                <c:pt idx="21" formatCode="General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4D3-45B7-8E69-F7BFAB0DCEF9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Sheet1!$M$67:$M$88</c:f>
              <c:numCache>
                <c:formatCode>#,##0.00</c:formatCode>
                <c:ptCount val="22"/>
                <c:pt idx="0">
                  <c:v>0.56164036400603201</c:v>
                </c:pt>
                <c:pt idx="1">
                  <c:v>0.66204912247802306</c:v>
                </c:pt>
                <c:pt idx="2">
                  <c:v>0.40548993886275603</c:v>
                </c:pt>
                <c:pt idx="3">
                  <c:v>0.62400461425345299</c:v>
                </c:pt>
                <c:pt idx="4">
                  <c:v>0.50109400000000004</c:v>
                </c:pt>
                <c:pt idx="5">
                  <c:v>0.65162781434413497</c:v>
                </c:pt>
                <c:pt idx="6">
                  <c:v>0.71444600000000003</c:v>
                </c:pt>
                <c:pt idx="7" formatCode="General">
                  <c:v>0.72</c:v>
                </c:pt>
                <c:pt idx="8" formatCode="General">
                  <c:v>0.62640399999999996</c:v>
                </c:pt>
                <c:pt idx="9" formatCode="General">
                  <c:v>0.72021599999999997</c:v>
                </c:pt>
                <c:pt idx="10" formatCode="General">
                  <c:v>0.39785399999999999</c:v>
                </c:pt>
                <c:pt idx="11" formatCode="General">
                  <c:v>0.364095</c:v>
                </c:pt>
                <c:pt idx="12" formatCode="General">
                  <c:v>0.38000400000000001</c:v>
                </c:pt>
                <c:pt idx="13" formatCode="General">
                  <c:v>0.33745399999999998</c:v>
                </c:pt>
                <c:pt idx="14" formatCode="General">
                  <c:v>0.61504400000000004</c:v>
                </c:pt>
                <c:pt idx="15" formatCode="General">
                  <c:v>0.40102700000000002</c:v>
                </c:pt>
                <c:pt idx="16" formatCode="General">
                  <c:v>0.72397699999999998</c:v>
                </c:pt>
                <c:pt idx="17" formatCode="General">
                  <c:v>0.66294699999999995</c:v>
                </c:pt>
                <c:pt idx="18" formatCode="General">
                  <c:v>0.59362599999999999</c:v>
                </c:pt>
                <c:pt idx="19" formatCode="General">
                  <c:v>0.48885000000000001</c:v>
                </c:pt>
                <c:pt idx="20" formatCode="General">
                  <c:v>0.42257699999999998</c:v>
                </c:pt>
                <c:pt idx="21" formatCode="General">
                  <c:v>0.66294699999999995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4D3-45B7-8E69-F7BFAB0DC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823664"/>
        <c:axId val="1169824624"/>
      </c:barChart>
      <c:catAx>
        <c:axId val="11698236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169824624"/>
        <c:crosses val="autoZero"/>
        <c:auto val="1"/>
        <c:lblAlgn val="ctr"/>
        <c:lblOffset val="100"/>
        <c:noMultiLvlLbl val="0"/>
      </c:catAx>
      <c:valAx>
        <c:axId val="116982462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82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Sheet1!$B$99:$B$120</c:f>
              <c:numCache>
                <c:formatCode>#,##0.00</c:formatCode>
                <c:ptCount val="22"/>
                <c:pt idx="0">
                  <c:v>0.41828184918509898</c:v>
                </c:pt>
                <c:pt idx="1">
                  <c:v>0.651391571734245</c:v>
                </c:pt>
                <c:pt idx="2">
                  <c:v>0.48315570567063998</c:v>
                </c:pt>
                <c:pt idx="3">
                  <c:v>0.68764281147957096</c:v>
                </c:pt>
                <c:pt idx="4">
                  <c:v>0.52153300000000002</c:v>
                </c:pt>
                <c:pt idx="5">
                  <c:v>0.62558594993113303</c:v>
                </c:pt>
                <c:pt idx="6">
                  <c:v>0.68104799999999999</c:v>
                </c:pt>
                <c:pt idx="7">
                  <c:v>0.66</c:v>
                </c:pt>
                <c:pt idx="8">
                  <c:v>0.47940500000000003</c:v>
                </c:pt>
                <c:pt idx="9">
                  <c:v>0.64551000000000003</c:v>
                </c:pt>
                <c:pt idx="10">
                  <c:v>0.14233699999999999</c:v>
                </c:pt>
                <c:pt idx="11">
                  <c:v>0.16318299999999999</c:v>
                </c:pt>
                <c:pt idx="12">
                  <c:v>0.16476499999999999</c:v>
                </c:pt>
                <c:pt idx="13">
                  <c:v>0.22964499999999999</c:v>
                </c:pt>
                <c:pt idx="14">
                  <c:v>0.59873900000000002</c:v>
                </c:pt>
                <c:pt idx="15">
                  <c:v>0.27993800000000002</c:v>
                </c:pt>
                <c:pt idx="16">
                  <c:v>0.62433099999999997</c:v>
                </c:pt>
                <c:pt idx="17">
                  <c:v>0.60337200000000002</c:v>
                </c:pt>
                <c:pt idx="18">
                  <c:v>0.596468</c:v>
                </c:pt>
                <c:pt idx="19">
                  <c:v>0.53561899999999996</c:v>
                </c:pt>
                <c:pt idx="20">
                  <c:v>0.38905299999999998</c:v>
                </c:pt>
                <c:pt idx="21">
                  <c:v>0.53561899999999996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9-4DF1-A38B-08E24323AB6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Sheet1!$C$99:$C$120</c:f>
              <c:numCache>
                <c:formatCode>#,##0.00</c:formatCode>
                <c:ptCount val="22"/>
                <c:pt idx="0">
                  <c:v>0.48584460540972801</c:v>
                </c:pt>
                <c:pt idx="1">
                  <c:v>0.60759292614909899</c:v>
                </c:pt>
                <c:pt idx="2">
                  <c:v>0.43219764632667401</c:v>
                </c:pt>
                <c:pt idx="3">
                  <c:v>0.57910755146690196</c:v>
                </c:pt>
                <c:pt idx="4">
                  <c:v>0.51538499999999998</c:v>
                </c:pt>
                <c:pt idx="5">
                  <c:v>0.64284619516070696</c:v>
                </c:pt>
                <c:pt idx="6">
                  <c:v>0.57542899999999997</c:v>
                </c:pt>
                <c:pt idx="7">
                  <c:v>0</c:v>
                </c:pt>
                <c:pt idx="8">
                  <c:v>0.52308399999999999</c:v>
                </c:pt>
                <c:pt idx="9">
                  <c:v>0.51607499999999995</c:v>
                </c:pt>
                <c:pt idx="10">
                  <c:v>0.20413300000000001</c:v>
                </c:pt>
                <c:pt idx="11">
                  <c:v>0.20408000000000001</c:v>
                </c:pt>
                <c:pt idx="12">
                  <c:v>0.19852</c:v>
                </c:pt>
                <c:pt idx="13">
                  <c:v>0.20627999999999999</c:v>
                </c:pt>
                <c:pt idx="14">
                  <c:v>0.53097099999999997</c:v>
                </c:pt>
                <c:pt idx="15">
                  <c:v>0.33252300000000001</c:v>
                </c:pt>
                <c:pt idx="16">
                  <c:v>0.63619300000000001</c:v>
                </c:pt>
                <c:pt idx="17">
                  <c:v>0.52393500000000004</c:v>
                </c:pt>
                <c:pt idx="18">
                  <c:v>0.50147600000000003</c:v>
                </c:pt>
                <c:pt idx="19">
                  <c:v>0.44971499999999998</c:v>
                </c:pt>
                <c:pt idx="20">
                  <c:v>0.48204799999999998</c:v>
                </c:pt>
                <c:pt idx="21">
                  <c:v>0.44971499999999998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09-4DF1-A38B-08E24323AB6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Sheet1!$D$99:$D$120</c:f>
              <c:numCache>
                <c:formatCode>#,##0.00</c:formatCode>
                <c:ptCount val="22"/>
                <c:pt idx="0">
                  <c:v>0.57240292777471702</c:v>
                </c:pt>
                <c:pt idx="1">
                  <c:v>0.66973794330294101</c:v>
                </c:pt>
                <c:pt idx="2">
                  <c:v>0.43636165355089002</c:v>
                </c:pt>
                <c:pt idx="3">
                  <c:v>0.59198613786286503</c:v>
                </c:pt>
                <c:pt idx="4">
                  <c:v>0.56874800000000003</c:v>
                </c:pt>
                <c:pt idx="5">
                  <c:v>0.61774410199466401</c:v>
                </c:pt>
                <c:pt idx="6">
                  <c:v>0.587727</c:v>
                </c:pt>
                <c:pt idx="7">
                  <c:v>0.56000000000000005</c:v>
                </c:pt>
                <c:pt idx="8">
                  <c:v>0.52335100000000001</c:v>
                </c:pt>
                <c:pt idx="9">
                  <c:v>0.57380799999999998</c:v>
                </c:pt>
                <c:pt idx="10">
                  <c:v>0.20664299999999999</c:v>
                </c:pt>
                <c:pt idx="11">
                  <c:v>0.17768500000000001</c:v>
                </c:pt>
                <c:pt idx="12">
                  <c:v>0.205593</c:v>
                </c:pt>
                <c:pt idx="13">
                  <c:v>0.229631</c:v>
                </c:pt>
                <c:pt idx="14">
                  <c:v>0.56993700000000003</c:v>
                </c:pt>
                <c:pt idx="15">
                  <c:v>0.14096400000000001</c:v>
                </c:pt>
                <c:pt idx="16">
                  <c:v>0.60264499999999999</c:v>
                </c:pt>
                <c:pt idx="17">
                  <c:v>0.62398699999999996</c:v>
                </c:pt>
                <c:pt idx="18">
                  <c:v>0.63784300000000005</c:v>
                </c:pt>
                <c:pt idx="19">
                  <c:v>0.58299699999999999</c:v>
                </c:pt>
                <c:pt idx="20">
                  <c:v>0.59677199999999997</c:v>
                </c:pt>
                <c:pt idx="21">
                  <c:v>0.58299699999999999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09-4DF1-A38B-08E24323AB6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Sheet1!$E$99:$E$120</c:f>
              <c:numCache>
                <c:formatCode>#,##0.00</c:formatCode>
                <c:ptCount val="22"/>
                <c:pt idx="0">
                  <c:v>0.469776458331782</c:v>
                </c:pt>
                <c:pt idx="1">
                  <c:v>0.64974236353731096</c:v>
                </c:pt>
                <c:pt idx="2">
                  <c:v>0.41844294715524</c:v>
                </c:pt>
                <c:pt idx="3">
                  <c:v>0.58704799489264903</c:v>
                </c:pt>
                <c:pt idx="4">
                  <c:v>0.59661200000000003</c:v>
                </c:pt>
                <c:pt idx="5">
                  <c:v>0.64562004915447402</c:v>
                </c:pt>
                <c:pt idx="6">
                  <c:v>0.49004199999999998</c:v>
                </c:pt>
                <c:pt idx="7">
                  <c:v>0.5</c:v>
                </c:pt>
                <c:pt idx="8">
                  <c:v>0.60315399999999997</c:v>
                </c:pt>
                <c:pt idx="9">
                  <c:v>0.594719</c:v>
                </c:pt>
                <c:pt idx="10">
                  <c:v>0.19286900000000001</c:v>
                </c:pt>
                <c:pt idx="11">
                  <c:v>0.20277000000000001</c:v>
                </c:pt>
                <c:pt idx="12">
                  <c:v>0.19187399999999999</c:v>
                </c:pt>
                <c:pt idx="13">
                  <c:v>0.200602</c:v>
                </c:pt>
                <c:pt idx="14">
                  <c:v>0.62772399999999995</c:v>
                </c:pt>
                <c:pt idx="15">
                  <c:v>0.19251599999999999</c:v>
                </c:pt>
                <c:pt idx="16">
                  <c:v>0.58970999999999996</c:v>
                </c:pt>
                <c:pt idx="17">
                  <c:v>0.61045099999999997</c:v>
                </c:pt>
                <c:pt idx="18">
                  <c:v>0.50002500000000005</c:v>
                </c:pt>
                <c:pt idx="19">
                  <c:v>0.393675</c:v>
                </c:pt>
                <c:pt idx="20">
                  <c:v>0.36381200000000002</c:v>
                </c:pt>
                <c:pt idx="21">
                  <c:v>0.61045099999999997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09-4DF1-A38B-08E24323AB6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Sheet1!$F$99:$F$120</c:f>
              <c:numCache>
                <c:formatCode>#,##0.00</c:formatCode>
                <c:ptCount val="22"/>
                <c:pt idx="0">
                  <c:v>0.48356274521196901</c:v>
                </c:pt>
                <c:pt idx="1">
                  <c:v>0.68849014662198404</c:v>
                </c:pt>
                <c:pt idx="2">
                  <c:v>0.54709853094264904</c:v>
                </c:pt>
                <c:pt idx="3">
                  <c:v>0.55912758580908295</c:v>
                </c:pt>
                <c:pt idx="4">
                  <c:v>0.51845300000000005</c:v>
                </c:pt>
                <c:pt idx="5">
                  <c:v>0.70066652470735402</c:v>
                </c:pt>
                <c:pt idx="6">
                  <c:v>0.74438700000000002</c:v>
                </c:pt>
                <c:pt idx="7">
                  <c:v>0.7</c:v>
                </c:pt>
                <c:pt idx="8">
                  <c:v>0.692963</c:v>
                </c:pt>
                <c:pt idx="9">
                  <c:v>0.73821400000000004</c:v>
                </c:pt>
                <c:pt idx="10">
                  <c:v>0.118308</c:v>
                </c:pt>
                <c:pt idx="11">
                  <c:v>0.13175100000000001</c:v>
                </c:pt>
                <c:pt idx="12">
                  <c:v>0.121768</c:v>
                </c:pt>
                <c:pt idx="13">
                  <c:v>0.12485400000000001</c:v>
                </c:pt>
                <c:pt idx="14">
                  <c:v>0.73912500000000003</c:v>
                </c:pt>
                <c:pt idx="15">
                  <c:v>4.0769E-2</c:v>
                </c:pt>
                <c:pt idx="16">
                  <c:v>0.59292</c:v>
                </c:pt>
                <c:pt idx="17">
                  <c:v>0.59493499999999999</c:v>
                </c:pt>
                <c:pt idx="18">
                  <c:v>0.69631399999999999</c:v>
                </c:pt>
                <c:pt idx="19">
                  <c:v>0.60925300000000004</c:v>
                </c:pt>
                <c:pt idx="20">
                  <c:v>0.69187200000000004</c:v>
                </c:pt>
                <c:pt idx="21">
                  <c:v>0.69187200000000004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09-4DF1-A38B-08E24323AB61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Sheet1!$G$99:$G$120</c:f>
              <c:numCache>
                <c:formatCode>#,##0.00</c:formatCode>
                <c:ptCount val="22"/>
                <c:pt idx="0">
                  <c:v>0.36706866826526702</c:v>
                </c:pt>
                <c:pt idx="1">
                  <c:v>0.66932904633443102</c:v>
                </c:pt>
                <c:pt idx="2">
                  <c:v>0.50198704047946496</c:v>
                </c:pt>
                <c:pt idx="3">
                  <c:v>0.642500503859181</c:v>
                </c:pt>
                <c:pt idx="4">
                  <c:v>0.58825499999999997</c:v>
                </c:pt>
                <c:pt idx="5">
                  <c:v>0.68226334703784897</c:v>
                </c:pt>
                <c:pt idx="6">
                  <c:v>0.709067</c:v>
                </c:pt>
                <c:pt idx="7">
                  <c:v>0.7</c:v>
                </c:pt>
                <c:pt idx="8">
                  <c:v>0.69053799999999999</c:v>
                </c:pt>
                <c:pt idx="9">
                  <c:v>0.69686899999999996</c:v>
                </c:pt>
                <c:pt idx="10">
                  <c:v>0.139822</c:v>
                </c:pt>
                <c:pt idx="11">
                  <c:v>0.13842699999999999</c:v>
                </c:pt>
                <c:pt idx="12">
                  <c:v>0.14510899999999999</c:v>
                </c:pt>
                <c:pt idx="13">
                  <c:v>0.153058</c:v>
                </c:pt>
                <c:pt idx="14">
                  <c:v>0.70026600000000006</c:v>
                </c:pt>
                <c:pt idx="15">
                  <c:v>0.48144799999999999</c:v>
                </c:pt>
                <c:pt idx="16">
                  <c:v>0.70306000000000002</c:v>
                </c:pt>
                <c:pt idx="17">
                  <c:v>0.69850599999999996</c:v>
                </c:pt>
                <c:pt idx="18">
                  <c:v>0.69669300000000001</c:v>
                </c:pt>
                <c:pt idx="19">
                  <c:v>0.64053700000000002</c:v>
                </c:pt>
                <c:pt idx="20">
                  <c:v>0.48668699999999998</c:v>
                </c:pt>
                <c:pt idx="21">
                  <c:v>0.64053700000000002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09-4DF1-A38B-08E24323AB6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Sheet1!$H$99:$H$120</c:f>
              <c:numCache>
                <c:formatCode>#,##0.00</c:formatCode>
                <c:ptCount val="22"/>
                <c:pt idx="0">
                  <c:v>0.501749341782187</c:v>
                </c:pt>
                <c:pt idx="1">
                  <c:v>0.74661140971352102</c:v>
                </c:pt>
                <c:pt idx="2">
                  <c:v>0.49627867984360002</c:v>
                </c:pt>
                <c:pt idx="3">
                  <c:v>0.45820863836583497</c:v>
                </c:pt>
                <c:pt idx="4">
                  <c:v>0.67262100000000002</c:v>
                </c:pt>
                <c:pt idx="5">
                  <c:v>0.80324145743832298</c:v>
                </c:pt>
                <c:pt idx="6">
                  <c:v>0.77166299999999999</c:v>
                </c:pt>
                <c:pt idx="7">
                  <c:v>0.77</c:v>
                </c:pt>
                <c:pt idx="8">
                  <c:v>0.77714000000000005</c:v>
                </c:pt>
                <c:pt idx="9">
                  <c:v>0.78100400000000003</c:v>
                </c:pt>
                <c:pt idx="10">
                  <c:v>0.19612199999999999</c:v>
                </c:pt>
                <c:pt idx="11">
                  <c:v>0.21826899999999999</c:v>
                </c:pt>
                <c:pt idx="12">
                  <c:v>0.18095800000000001</c:v>
                </c:pt>
                <c:pt idx="13">
                  <c:v>0.24293699999999999</c:v>
                </c:pt>
                <c:pt idx="14">
                  <c:v>0.76889300000000005</c:v>
                </c:pt>
                <c:pt idx="15">
                  <c:v>0.74219900000000005</c:v>
                </c:pt>
                <c:pt idx="16">
                  <c:v>0.753803</c:v>
                </c:pt>
                <c:pt idx="17">
                  <c:v>0.78312199999999998</c:v>
                </c:pt>
                <c:pt idx="18">
                  <c:v>0.77726499999999998</c:v>
                </c:pt>
                <c:pt idx="19">
                  <c:v>0.578233</c:v>
                </c:pt>
                <c:pt idx="20">
                  <c:v>0.75475599999999998</c:v>
                </c:pt>
                <c:pt idx="21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09-4DF1-A38B-08E24323AB6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Sheet1!$I$99:$I$120</c:f>
              <c:numCache>
                <c:formatCode>#,##0.00</c:formatCode>
                <c:ptCount val="22"/>
                <c:pt idx="0">
                  <c:v>0.52333851283722899</c:v>
                </c:pt>
                <c:pt idx="1">
                  <c:v>0.70705397018174099</c:v>
                </c:pt>
                <c:pt idx="2">
                  <c:v>0.49504639640838899</c:v>
                </c:pt>
                <c:pt idx="3">
                  <c:v>0.66537994365778896</c:v>
                </c:pt>
                <c:pt idx="4">
                  <c:v>0.67122499999999996</c:v>
                </c:pt>
                <c:pt idx="5">
                  <c:v>0.78243975987710601</c:v>
                </c:pt>
                <c:pt idx="6">
                  <c:v>0.69863900000000001</c:v>
                </c:pt>
                <c:pt idx="7" formatCode="General">
                  <c:v>0.71</c:v>
                </c:pt>
                <c:pt idx="8" formatCode="General">
                  <c:v>0.72620600000000002</c:v>
                </c:pt>
                <c:pt idx="9" formatCode="General">
                  <c:v>0.71439799999999998</c:v>
                </c:pt>
                <c:pt idx="10" formatCode="General">
                  <c:v>0.14835599999999999</c:v>
                </c:pt>
                <c:pt idx="11" formatCode="General">
                  <c:v>0.23072999999999999</c:v>
                </c:pt>
                <c:pt idx="12" formatCode="General">
                  <c:v>0.130054</c:v>
                </c:pt>
                <c:pt idx="13" formatCode="General">
                  <c:v>0.280335</c:v>
                </c:pt>
                <c:pt idx="14" formatCode="General">
                  <c:v>0.70657700000000001</c:v>
                </c:pt>
                <c:pt idx="15" formatCode="General">
                  <c:v>0.69391800000000003</c:v>
                </c:pt>
                <c:pt idx="16" formatCode="General">
                  <c:v>0.71516900000000005</c:v>
                </c:pt>
                <c:pt idx="17" formatCode="General">
                  <c:v>0.71377299999999999</c:v>
                </c:pt>
                <c:pt idx="18" formatCode="General">
                  <c:v>0.72331000000000001</c:v>
                </c:pt>
                <c:pt idx="19" formatCode="General">
                  <c:v>0.70257000000000003</c:v>
                </c:pt>
                <c:pt idx="20" formatCode="General">
                  <c:v>0.629687</c:v>
                </c:pt>
                <c:pt idx="21" formatCode="General">
                  <c:v>0.629687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09-4DF1-A38B-08E24323AB6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Sheet1!$J$99:$J$120</c:f>
              <c:numCache>
                <c:formatCode>#,##0.00</c:formatCode>
                <c:ptCount val="22"/>
                <c:pt idx="0">
                  <c:v>0.65004628205956705</c:v>
                </c:pt>
                <c:pt idx="1">
                  <c:v>0.72750237595766998</c:v>
                </c:pt>
                <c:pt idx="2">
                  <c:v>0.515267229139029</c:v>
                </c:pt>
                <c:pt idx="3">
                  <c:v>0.63115074731520004</c:v>
                </c:pt>
                <c:pt idx="4">
                  <c:v>0.64600199999999997</c:v>
                </c:pt>
                <c:pt idx="5">
                  <c:v>0.74837190262289499</c:v>
                </c:pt>
                <c:pt idx="6">
                  <c:v>0.75806099999999998</c:v>
                </c:pt>
                <c:pt idx="7" formatCode="General">
                  <c:v>0.71</c:v>
                </c:pt>
                <c:pt idx="8" formatCode="General">
                  <c:v>0.69847700000000001</c:v>
                </c:pt>
                <c:pt idx="9" formatCode="General">
                  <c:v>0.66226200000000002</c:v>
                </c:pt>
                <c:pt idx="10" formatCode="General">
                  <c:v>0.18310000000000001</c:v>
                </c:pt>
                <c:pt idx="11" formatCode="General">
                  <c:v>0.29338799999999998</c:v>
                </c:pt>
                <c:pt idx="12" formatCode="General">
                  <c:v>0.235259</c:v>
                </c:pt>
                <c:pt idx="13" formatCode="General">
                  <c:v>0.30638199999999999</c:v>
                </c:pt>
                <c:pt idx="14" formatCode="General">
                  <c:v>0.71762199999999998</c:v>
                </c:pt>
                <c:pt idx="15" formatCode="General">
                  <c:v>0.29338799999999998</c:v>
                </c:pt>
                <c:pt idx="16" formatCode="General">
                  <c:v>0.54480899999999999</c:v>
                </c:pt>
                <c:pt idx="17" formatCode="General">
                  <c:v>0.71330700000000002</c:v>
                </c:pt>
                <c:pt idx="18" formatCode="General">
                  <c:v>0.72030300000000003</c:v>
                </c:pt>
                <c:pt idx="19" formatCode="General">
                  <c:v>0.71836800000000001</c:v>
                </c:pt>
                <c:pt idx="20" formatCode="General">
                  <c:v>0.56699900000000003</c:v>
                </c:pt>
                <c:pt idx="21" formatCode="General">
                  <c:v>0.71836800000000001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09-4DF1-A38B-08E24323AB61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Sheet1!$K$99:$K$120</c:f>
              <c:numCache>
                <c:formatCode>#,##0.00</c:formatCode>
                <c:ptCount val="22"/>
                <c:pt idx="0">
                  <c:v>0.64821209797037604</c:v>
                </c:pt>
                <c:pt idx="1">
                  <c:v>0.58335779172106805</c:v>
                </c:pt>
                <c:pt idx="2">
                  <c:v>0.45441631733537202</c:v>
                </c:pt>
                <c:pt idx="3">
                  <c:v>0.67043466099363902</c:v>
                </c:pt>
                <c:pt idx="4">
                  <c:v>0.54108500000000004</c:v>
                </c:pt>
                <c:pt idx="5">
                  <c:v>0.61432959116906305</c:v>
                </c:pt>
                <c:pt idx="6">
                  <c:v>0.670651</c:v>
                </c:pt>
                <c:pt idx="7" formatCode="General">
                  <c:v>0.68</c:v>
                </c:pt>
                <c:pt idx="8" formatCode="General">
                  <c:v>0.62109599999999998</c:v>
                </c:pt>
                <c:pt idx="9" formatCode="General">
                  <c:v>0.57743599999999995</c:v>
                </c:pt>
                <c:pt idx="10" formatCode="General">
                  <c:v>0.24831600000000001</c:v>
                </c:pt>
                <c:pt idx="11" formatCode="General">
                  <c:v>0.29856700000000003</c:v>
                </c:pt>
                <c:pt idx="12" formatCode="General">
                  <c:v>0.22242100000000001</c:v>
                </c:pt>
                <c:pt idx="13" formatCode="General">
                  <c:v>0.27474999999999999</c:v>
                </c:pt>
                <c:pt idx="14" formatCode="General">
                  <c:v>0.56941299999999995</c:v>
                </c:pt>
                <c:pt idx="15" formatCode="General">
                  <c:v>0.41023300000000001</c:v>
                </c:pt>
                <c:pt idx="16" formatCode="General">
                  <c:v>0.58102200000000004</c:v>
                </c:pt>
                <c:pt idx="17" formatCode="General">
                  <c:v>0.66566099999999995</c:v>
                </c:pt>
                <c:pt idx="18" formatCode="General">
                  <c:v>0.66138399999999997</c:v>
                </c:pt>
                <c:pt idx="19" formatCode="General">
                  <c:v>0.49531900000000001</c:v>
                </c:pt>
                <c:pt idx="20" formatCode="General">
                  <c:v>0.43659500000000001</c:v>
                </c:pt>
                <c:pt idx="21" formatCode="General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C09-4DF1-A38B-08E24323AB61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Sheet1!$L$99:$L$120</c:f>
              <c:numCache>
                <c:formatCode>#,##0.00</c:formatCode>
                <c:ptCount val="22"/>
                <c:pt idx="0">
                  <c:v>0.57539231918643496</c:v>
                </c:pt>
                <c:pt idx="1">
                  <c:v>0.673789479852684</c:v>
                </c:pt>
                <c:pt idx="2">
                  <c:v>0.39069120209879998</c:v>
                </c:pt>
                <c:pt idx="3">
                  <c:v>0.67987824408547903</c:v>
                </c:pt>
                <c:pt idx="4">
                  <c:v>0.50631300000000001</c:v>
                </c:pt>
                <c:pt idx="5">
                  <c:v>0.61357668911521501</c:v>
                </c:pt>
                <c:pt idx="6">
                  <c:v>0.63661299999999998</c:v>
                </c:pt>
                <c:pt idx="7" formatCode="General">
                  <c:v>0.56999999999999995</c:v>
                </c:pt>
                <c:pt idx="8" formatCode="General">
                  <c:v>0.58083499999999999</c:v>
                </c:pt>
                <c:pt idx="9" formatCode="General">
                  <c:v>0.62695500000000004</c:v>
                </c:pt>
                <c:pt idx="10" formatCode="General">
                  <c:v>0.189112</c:v>
                </c:pt>
                <c:pt idx="11" formatCode="General">
                  <c:v>0.19738</c:v>
                </c:pt>
                <c:pt idx="12" formatCode="General">
                  <c:v>0.22375900000000001</c:v>
                </c:pt>
                <c:pt idx="13" formatCode="General">
                  <c:v>0.237232</c:v>
                </c:pt>
                <c:pt idx="14" formatCode="General">
                  <c:v>0.57899</c:v>
                </c:pt>
                <c:pt idx="15" formatCode="General">
                  <c:v>0.38632100000000003</c:v>
                </c:pt>
                <c:pt idx="16" formatCode="General">
                  <c:v>0.56839399999999995</c:v>
                </c:pt>
                <c:pt idx="17" formatCode="General">
                  <c:v>0.60210699999999995</c:v>
                </c:pt>
                <c:pt idx="18" formatCode="General">
                  <c:v>0.545574</c:v>
                </c:pt>
                <c:pt idx="19" formatCode="General">
                  <c:v>0.45178499999999999</c:v>
                </c:pt>
                <c:pt idx="20" formatCode="General">
                  <c:v>0.56493899999999997</c:v>
                </c:pt>
                <c:pt idx="21" formatCode="General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09-4DF1-A38B-08E24323AB61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Sheet1!$M$99:$M$120</c:f>
              <c:numCache>
                <c:formatCode>#,##0.00</c:formatCode>
                <c:ptCount val="22"/>
                <c:pt idx="0">
                  <c:v>0.54270662055500196</c:v>
                </c:pt>
                <c:pt idx="1">
                  <c:v>0.68341770995318796</c:v>
                </c:pt>
                <c:pt idx="2">
                  <c:v>0.42412069686342402</c:v>
                </c:pt>
                <c:pt idx="3">
                  <c:v>0.63114926287388096</c:v>
                </c:pt>
                <c:pt idx="4">
                  <c:v>0.50710699999999997</c:v>
                </c:pt>
                <c:pt idx="5">
                  <c:v>0.66254638843202895</c:v>
                </c:pt>
                <c:pt idx="6">
                  <c:v>0.67747400000000002</c:v>
                </c:pt>
                <c:pt idx="7" formatCode="General">
                  <c:v>0.66</c:v>
                </c:pt>
                <c:pt idx="8" formatCode="General">
                  <c:v>0.55924200000000002</c:v>
                </c:pt>
                <c:pt idx="9" formatCode="General">
                  <c:v>0.66481699999999999</c:v>
                </c:pt>
                <c:pt idx="10" formatCode="General">
                  <c:v>0.19988900000000001</c:v>
                </c:pt>
                <c:pt idx="11" formatCode="General">
                  <c:v>0.28692699999999999</c:v>
                </c:pt>
                <c:pt idx="12" formatCode="General">
                  <c:v>0.190053</c:v>
                </c:pt>
                <c:pt idx="13" formatCode="General">
                  <c:v>0.266982</c:v>
                </c:pt>
                <c:pt idx="14" formatCode="General">
                  <c:v>0.56372900000000004</c:v>
                </c:pt>
                <c:pt idx="15" formatCode="General">
                  <c:v>0.37982300000000002</c:v>
                </c:pt>
                <c:pt idx="16" formatCode="General">
                  <c:v>0.66236899999999999</c:v>
                </c:pt>
                <c:pt idx="17" formatCode="General">
                  <c:v>0.61247700000000005</c:v>
                </c:pt>
                <c:pt idx="18" formatCode="General">
                  <c:v>0.55160399999999998</c:v>
                </c:pt>
                <c:pt idx="19" formatCode="General">
                  <c:v>0.35131400000000002</c:v>
                </c:pt>
                <c:pt idx="20" formatCode="General">
                  <c:v>0.35477799999999998</c:v>
                </c:pt>
                <c:pt idx="21" formatCode="General">
                  <c:v>0.61247700000000005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C09-4DF1-A38B-08E24323A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1927552"/>
        <c:axId val="1551937632"/>
      </c:barChart>
      <c:catAx>
        <c:axId val="1551927552"/>
        <c:scaling>
          <c:orientation val="minMax"/>
        </c:scaling>
        <c:delete val="1"/>
        <c:axPos val="l"/>
        <c:majorTickMark val="none"/>
        <c:minorTickMark val="none"/>
        <c:tickLblPos val="nextTo"/>
        <c:crossAx val="1551937632"/>
        <c:crosses val="autoZero"/>
        <c:auto val="1"/>
        <c:lblAlgn val="ctr"/>
        <c:lblOffset val="100"/>
        <c:noMultiLvlLbl val="0"/>
      </c:catAx>
      <c:valAx>
        <c:axId val="15519376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92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Sheet1!$B$130:$B$151</c:f>
              <c:numCache>
                <c:formatCode>#,##0.00</c:formatCode>
                <c:ptCount val="22"/>
                <c:pt idx="0">
                  <c:v>6.0831000000000003E-2</c:v>
                </c:pt>
                <c:pt idx="1">
                  <c:v>5.6848999999999997E-2</c:v>
                </c:pt>
                <c:pt idx="2">
                  <c:v>5.6290231441776598E-2</c:v>
                </c:pt>
                <c:pt idx="3">
                  <c:v>5.6439361222223199E-2</c:v>
                </c:pt>
                <c:pt idx="4">
                  <c:v>5.8728000000000002E-2</c:v>
                </c:pt>
                <c:pt idx="5">
                  <c:v>5.6387289266641501E-2</c:v>
                </c:pt>
                <c:pt idx="6">
                  <c:v>5.6270000000000001E-2</c:v>
                </c:pt>
                <c:pt idx="7">
                  <c:v>0.06</c:v>
                </c:pt>
                <c:pt idx="8">
                  <c:v>5.6691999999999999E-2</c:v>
                </c:pt>
                <c:pt idx="9">
                  <c:v>5.6390999999999997E-2</c:v>
                </c:pt>
                <c:pt idx="10">
                  <c:v>5.6654999999999997E-2</c:v>
                </c:pt>
                <c:pt idx="11">
                  <c:v>5.6315999999999998E-2</c:v>
                </c:pt>
                <c:pt idx="12">
                  <c:v>5.6311E-2</c:v>
                </c:pt>
                <c:pt idx="13">
                  <c:v>5.7171E-2</c:v>
                </c:pt>
                <c:pt idx="14">
                  <c:v>5.6522000000000003E-2</c:v>
                </c:pt>
                <c:pt idx="15">
                  <c:v>5.6256E-2</c:v>
                </c:pt>
                <c:pt idx="16">
                  <c:v>5.6304E-2</c:v>
                </c:pt>
                <c:pt idx="17">
                  <c:v>5.6474000000000003E-2</c:v>
                </c:pt>
                <c:pt idx="18">
                  <c:v>5.6522000000000003E-2</c:v>
                </c:pt>
                <c:pt idx="19">
                  <c:v>5.6412999999999998E-2</c:v>
                </c:pt>
                <c:pt idx="20">
                  <c:v>5.6605000000000003E-2</c:v>
                </c:pt>
                <c:pt idx="21">
                  <c:v>5.6412999999999998E-2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0-4F21-BAB4-9045CD12A6C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Sheet1!$C$130:$C$151</c:f>
              <c:numCache>
                <c:formatCode>#,##0.00</c:formatCode>
                <c:ptCount val="22"/>
                <c:pt idx="0">
                  <c:v>5.9020000000000003E-2</c:v>
                </c:pt>
                <c:pt idx="1">
                  <c:v>5.5732999999999998E-2</c:v>
                </c:pt>
                <c:pt idx="2">
                  <c:v>5.5101157156788601E-2</c:v>
                </c:pt>
                <c:pt idx="3">
                  <c:v>5.5669212492440397E-2</c:v>
                </c:pt>
                <c:pt idx="4">
                  <c:v>5.7661999999999998E-2</c:v>
                </c:pt>
                <c:pt idx="5">
                  <c:v>5.5075272157313802E-2</c:v>
                </c:pt>
                <c:pt idx="6">
                  <c:v>5.5232000000000003E-2</c:v>
                </c:pt>
                <c:pt idx="7">
                  <c:v>0</c:v>
                </c:pt>
                <c:pt idx="8">
                  <c:v>5.5111E-2</c:v>
                </c:pt>
                <c:pt idx="9">
                  <c:v>5.5474999999999997E-2</c:v>
                </c:pt>
                <c:pt idx="10">
                  <c:v>5.5252999999999997E-2</c:v>
                </c:pt>
                <c:pt idx="11">
                  <c:v>5.5239000000000003E-2</c:v>
                </c:pt>
                <c:pt idx="12">
                  <c:v>5.5159E-2</c:v>
                </c:pt>
                <c:pt idx="13">
                  <c:v>5.5171999999999999E-2</c:v>
                </c:pt>
                <c:pt idx="14">
                  <c:v>5.5147000000000002E-2</c:v>
                </c:pt>
                <c:pt idx="15">
                  <c:v>5.5072999999999997E-2</c:v>
                </c:pt>
                <c:pt idx="16">
                  <c:v>5.5258000000000002E-2</c:v>
                </c:pt>
                <c:pt idx="17">
                  <c:v>5.5199999999999999E-2</c:v>
                </c:pt>
                <c:pt idx="18">
                  <c:v>5.5239999999999997E-2</c:v>
                </c:pt>
                <c:pt idx="19">
                  <c:v>5.5515000000000002E-2</c:v>
                </c:pt>
                <c:pt idx="20">
                  <c:v>5.5195000000000001E-2</c:v>
                </c:pt>
                <c:pt idx="21">
                  <c:v>5.5515000000000002E-2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0-4F21-BAB4-9045CD12A6C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Sheet1!$D$130:$D$151</c:f>
              <c:numCache>
                <c:formatCode>#,##0.00</c:formatCode>
                <c:ptCount val="22"/>
                <c:pt idx="0">
                  <c:v>5.3655000000000001E-2</c:v>
                </c:pt>
                <c:pt idx="1">
                  <c:v>5.3755999999999998E-2</c:v>
                </c:pt>
                <c:pt idx="2">
                  <c:v>5.3489120686924699E-2</c:v>
                </c:pt>
                <c:pt idx="3">
                  <c:v>5.39364970955553E-2</c:v>
                </c:pt>
                <c:pt idx="4">
                  <c:v>5.6283E-2</c:v>
                </c:pt>
                <c:pt idx="5">
                  <c:v>5.3751215376245103E-2</c:v>
                </c:pt>
                <c:pt idx="6">
                  <c:v>5.3524000000000002E-2</c:v>
                </c:pt>
                <c:pt idx="7">
                  <c:v>0.05</c:v>
                </c:pt>
                <c:pt idx="8">
                  <c:v>5.3596999999999999E-2</c:v>
                </c:pt>
                <c:pt idx="9">
                  <c:v>5.3505999999999998E-2</c:v>
                </c:pt>
                <c:pt idx="10">
                  <c:v>5.3624999999999999E-2</c:v>
                </c:pt>
                <c:pt idx="11">
                  <c:v>5.3517000000000002E-2</c:v>
                </c:pt>
                <c:pt idx="12">
                  <c:v>5.3664000000000003E-2</c:v>
                </c:pt>
                <c:pt idx="13">
                  <c:v>5.3555999999999999E-2</c:v>
                </c:pt>
                <c:pt idx="14">
                  <c:v>5.4036000000000001E-2</c:v>
                </c:pt>
                <c:pt idx="15">
                  <c:v>5.3497000000000003E-2</c:v>
                </c:pt>
                <c:pt idx="16">
                  <c:v>5.3677000000000002E-2</c:v>
                </c:pt>
                <c:pt idx="17">
                  <c:v>5.3624999999999999E-2</c:v>
                </c:pt>
                <c:pt idx="18">
                  <c:v>5.3520999999999999E-2</c:v>
                </c:pt>
                <c:pt idx="19">
                  <c:v>5.3788999999999997E-2</c:v>
                </c:pt>
                <c:pt idx="20">
                  <c:v>5.3666999999999999E-2</c:v>
                </c:pt>
                <c:pt idx="21">
                  <c:v>5.3788999999999997E-2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60-4F21-BAB4-9045CD12A6C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Sheet1!$E$130:$E$151</c:f>
              <c:numCache>
                <c:formatCode>#,##0.00</c:formatCode>
                <c:ptCount val="22"/>
                <c:pt idx="0">
                  <c:v>5.7554000000000001E-2</c:v>
                </c:pt>
                <c:pt idx="1">
                  <c:v>5.5565000000000003E-2</c:v>
                </c:pt>
                <c:pt idx="2">
                  <c:v>5.5019934323679298E-2</c:v>
                </c:pt>
                <c:pt idx="3">
                  <c:v>5.5030218522719498E-2</c:v>
                </c:pt>
                <c:pt idx="4">
                  <c:v>5.8194999999999997E-2</c:v>
                </c:pt>
                <c:pt idx="5">
                  <c:v>5.51345551616002E-2</c:v>
                </c:pt>
                <c:pt idx="6">
                  <c:v>5.5538999999999998E-2</c:v>
                </c:pt>
                <c:pt idx="7">
                  <c:v>0.06</c:v>
                </c:pt>
                <c:pt idx="8">
                  <c:v>5.5428999999999999E-2</c:v>
                </c:pt>
                <c:pt idx="9">
                  <c:v>5.5199999999999999E-2</c:v>
                </c:pt>
                <c:pt idx="10">
                  <c:v>5.5243E-2</c:v>
                </c:pt>
                <c:pt idx="11">
                  <c:v>5.5166E-2</c:v>
                </c:pt>
                <c:pt idx="12">
                  <c:v>5.5188000000000001E-2</c:v>
                </c:pt>
                <c:pt idx="13">
                  <c:v>5.5156999999999998E-2</c:v>
                </c:pt>
                <c:pt idx="14">
                  <c:v>5.5354E-2</c:v>
                </c:pt>
                <c:pt idx="15">
                  <c:v>5.5134000000000002E-2</c:v>
                </c:pt>
                <c:pt idx="16">
                  <c:v>5.5614999999999998E-2</c:v>
                </c:pt>
                <c:pt idx="17">
                  <c:v>5.5209000000000001E-2</c:v>
                </c:pt>
                <c:pt idx="18">
                  <c:v>5.5257000000000001E-2</c:v>
                </c:pt>
                <c:pt idx="19">
                  <c:v>5.5660000000000001E-2</c:v>
                </c:pt>
                <c:pt idx="20">
                  <c:v>5.5225999999999997E-2</c:v>
                </c:pt>
                <c:pt idx="21">
                  <c:v>5.5209000000000001E-2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60-4F21-BAB4-9045CD12A6C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Sheet1!$F$130:$F$151</c:f>
              <c:numCache>
                <c:formatCode>#,##0.00</c:formatCode>
                <c:ptCount val="22"/>
                <c:pt idx="0">
                  <c:v>6.1955000000000003E-2</c:v>
                </c:pt>
                <c:pt idx="1">
                  <c:v>6.1941999999999997E-2</c:v>
                </c:pt>
                <c:pt idx="2">
                  <c:v>6.2506141072010801E-2</c:v>
                </c:pt>
                <c:pt idx="3">
                  <c:v>6.2609613275876705E-2</c:v>
                </c:pt>
                <c:pt idx="4">
                  <c:v>6.5130999999999994E-2</c:v>
                </c:pt>
                <c:pt idx="5">
                  <c:v>6.11826882652775E-2</c:v>
                </c:pt>
                <c:pt idx="6">
                  <c:v>6.1210000000000001E-2</c:v>
                </c:pt>
                <c:pt idx="7">
                  <c:v>0.06</c:v>
                </c:pt>
                <c:pt idx="8">
                  <c:v>6.1187999999999999E-2</c:v>
                </c:pt>
                <c:pt idx="9">
                  <c:v>6.1226000000000003E-2</c:v>
                </c:pt>
                <c:pt idx="10">
                  <c:v>6.1179999999999998E-2</c:v>
                </c:pt>
                <c:pt idx="11">
                  <c:v>6.1787000000000002E-2</c:v>
                </c:pt>
                <c:pt idx="12">
                  <c:v>6.1293E-2</c:v>
                </c:pt>
                <c:pt idx="13">
                  <c:v>6.1180999999999999E-2</c:v>
                </c:pt>
                <c:pt idx="14">
                  <c:v>6.1261999999999997E-2</c:v>
                </c:pt>
                <c:pt idx="15">
                  <c:v>6.1384000000000001E-2</c:v>
                </c:pt>
                <c:pt idx="16">
                  <c:v>6.1206999999999998E-2</c:v>
                </c:pt>
                <c:pt idx="17">
                  <c:v>6.1206999999999998E-2</c:v>
                </c:pt>
                <c:pt idx="18">
                  <c:v>6.1206000000000003E-2</c:v>
                </c:pt>
                <c:pt idx="19">
                  <c:v>6.1373999999999998E-2</c:v>
                </c:pt>
                <c:pt idx="20">
                  <c:v>6.1209E-2</c:v>
                </c:pt>
                <c:pt idx="21">
                  <c:v>6.1209E-2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60-4F21-BAB4-9045CD12A6C1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Sheet1!$G$130:$G$151</c:f>
              <c:numCache>
                <c:formatCode>#,##0.00</c:formatCode>
                <c:ptCount val="22"/>
                <c:pt idx="0">
                  <c:v>6.5975000000000006E-2</c:v>
                </c:pt>
                <c:pt idx="1">
                  <c:v>6.1203E-2</c:v>
                </c:pt>
                <c:pt idx="2">
                  <c:v>6.0440578922806902E-2</c:v>
                </c:pt>
                <c:pt idx="3">
                  <c:v>6.1859527667264602E-2</c:v>
                </c:pt>
                <c:pt idx="4">
                  <c:v>6.4639000000000002E-2</c:v>
                </c:pt>
                <c:pt idx="5">
                  <c:v>6.1319065127132297E-2</c:v>
                </c:pt>
                <c:pt idx="6">
                  <c:v>6.0386000000000002E-2</c:v>
                </c:pt>
                <c:pt idx="7">
                  <c:v>0.06</c:v>
                </c:pt>
                <c:pt idx="8">
                  <c:v>6.0415999999999997E-2</c:v>
                </c:pt>
                <c:pt idx="9">
                  <c:v>6.037E-2</c:v>
                </c:pt>
                <c:pt idx="10">
                  <c:v>6.0808000000000001E-2</c:v>
                </c:pt>
                <c:pt idx="11">
                  <c:v>6.0528999999999999E-2</c:v>
                </c:pt>
                <c:pt idx="12">
                  <c:v>6.0700999999999998E-2</c:v>
                </c:pt>
                <c:pt idx="13">
                  <c:v>6.0983999999999997E-2</c:v>
                </c:pt>
                <c:pt idx="14">
                  <c:v>6.0352000000000003E-2</c:v>
                </c:pt>
                <c:pt idx="15">
                  <c:v>6.0373000000000003E-2</c:v>
                </c:pt>
                <c:pt idx="16">
                  <c:v>6.0354999999999999E-2</c:v>
                </c:pt>
                <c:pt idx="17">
                  <c:v>6.0462000000000002E-2</c:v>
                </c:pt>
                <c:pt idx="18">
                  <c:v>6.0366999999999997E-2</c:v>
                </c:pt>
                <c:pt idx="19">
                  <c:v>6.0356E-2</c:v>
                </c:pt>
                <c:pt idx="20">
                  <c:v>6.0395999999999998E-2</c:v>
                </c:pt>
                <c:pt idx="21">
                  <c:v>6.0356E-2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60-4F21-BAB4-9045CD12A6C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Sheet1!$H$130:$H$151</c:f>
              <c:numCache>
                <c:formatCode>#,##0.00</c:formatCode>
                <c:ptCount val="22"/>
                <c:pt idx="0">
                  <c:v>5.8520000000000003E-2</c:v>
                </c:pt>
                <c:pt idx="1">
                  <c:v>5.7882000000000003E-2</c:v>
                </c:pt>
                <c:pt idx="2">
                  <c:v>5.7836918074832003E-2</c:v>
                </c:pt>
                <c:pt idx="3">
                  <c:v>5.8204442072802301E-2</c:v>
                </c:pt>
                <c:pt idx="4">
                  <c:v>6.0668E-2</c:v>
                </c:pt>
                <c:pt idx="5">
                  <c:v>5.77392429871669E-2</c:v>
                </c:pt>
                <c:pt idx="6">
                  <c:v>5.7856999999999999E-2</c:v>
                </c:pt>
                <c:pt idx="7">
                  <c:v>0.06</c:v>
                </c:pt>
                <c:pt idx="8">
                  <c:v>5.7772999999999998E-2</c:v>
                </c:pt>
                <c:pt idx="9">
                  <c:v>5.7840999999999997E-2</c:v>
                </c:pt>
                <c:pt idx="10">
                  <c:v>5.7772999999999998E-2</c:v>
                </c:pt>
                <c:pt idx="11">
                  <c:v>5.8090999999999997E-2</c:v>
                </c:pt>
                <c:pt idx="12">
                  <c:v>5.7832000000000001E-2</c:v>
                </c:pt>
                <c:pt idx="13">
                  <c:v>5.7944000000000002E-2</c:v>
                </c:pt>
                <c:pt idx="14">
                  <c:v>5.7824E-2</c:v>
                </c:pt>
                <c:pt idx="15">
                  <c:v>5.7741000000000001E-2</c:v>
                </c:pt>
                <c:pt idx="16">
                  <c:v>5.7846000000000002E-2</c:v>
                </c:pt>
                <c:pt idx="17">
                  <c:v>5.781E-2</c:v>
                </c:pt>
                <c:pt idx="18">
                  <c:v>5.7818000000000001E-2</c:v>
                </c:pt>
                <c:pt idx="19">
                  <c:v>5.7813000000000003E-2</c:v>
                </c:pt>
                <c:pt idx="20">
                  <c:v>5.8355999999999998E-2</c:v>
                </c:pt>
                <c:pt idx="21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60-4F21-BAB4-9045CD12A6C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Sheet1!$I$130:$I$151</c:f>
              <c:numCache>
                <c:formatCode>#,##0.00</c:formatCode>
                <c:ptCount val="22"/>
                <c:pt idx="0">
                  <c:v>5.8387000000000001E-2</c:v>
                </c:pt>
                <c:pt idx="1">
                  <c:v>5.9676E-2</c:v>
                </c:pt>
                <c:pt idx="2">
                  <c:v>5.8355012982249301E-2</c:v>
                </c:pt>
                <c:pt idx="3">
                  <c:v>5.82125377145973E-2</c:v>
                </c:pt>
                <c:pt idx="4">
                  <c:v>6.0477999999999997E-2</c:v>
                </c:pt>
                <c:pt idx="5">
                  <c:v>5.9534346670189101E-2</c:v>
                </c:pt>
                <c:pt idx="6">
                  <c:v>6.0470000000000003E-2</c:v>
                </c:pt>
                <c:pt idx="7" formatCode="General">
                  <c:v>0.06</c:v>
                </c:pt>
                <c:pt idx="8" formatCode="General">
                  <c:v>5.9737999999999999E-2</c:v>
                </c:pt>
                <c:pt idx="9" formatCode="General">
                  <c:v>5.9817000000000002E-2</c:v>
                </c:pt>
                <c:pt idx="10" formatCode="General">
                  <c:v>5.9581000000000002E-2</c:v>
                </c:pt>
                <c:pt idx="11" formatCode="General">
                  <c:v>5.9519000000000002E-2</c:v>
                </c:pt>
                <c:pt idx="12" formatCode="General">
                  <c:v>6.0340999999999999E-2</c:v>
                </c:pt>
                <c:pt idx="13" formatCode="General">
                  <c:v>6.0868999999999999E-2</c:v>
                </c:pt>
                <c:pt idx="14" formatCode="General">
                  <c:v>5.9859999999999997E-2</c:v>
                </c:pt>
                <c:pt idx="15" formatCode="General">
                  <c:v>6.0199000000000003E-2</c:v>
                </c:pt>
                <c:pt idx="16" formatCode="General">
                  <c:v>5.9561999999999997E-2</c:v>
                </c:pt>
                <c:pt idx="17" formatCode="General">
                  <c:v>5.9590999999999998E-2</c:v>
                </c:pt>
                <c:pt idx="18" formatCode="General">
                  <c:v>5.9611999999999998E-2</c:v>
                </c:pt>
                <c:pt idx="19" formatCode="General">
                  <c:v>5.9533999999999997E-2</c:v>
                </c:pt>
                <c:pt idx="20" formatCode="General">
                  <c:v>5.9624000000000003E-2</c:v>
                </c:pt>
                <c:pt idx="21" formatCode="General">
                  <c:v>5.9624000000000003E-2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60-4F21-BAB4-9045CD12A6C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Sheet1!$J$130:$J$151</c:f>
              <c:numCache>
                <c:formatCode>#,##0.00</c:formatCode>
                <c:ptCount val="22"/>
                <c:pt idx="0">
                  <c:v>6.0194999999999999E-2</c:v>
                </c:pt>
                <c:pt idx="1">
                  <c:v>6.0505000000000003E-2</c:v>
                </c:pt>
                <c:pt idx="2">
                  <c:v>6.0423020386832303E-2</c:v>
                </c:pt>
                <c:pt idx="3">
                  <c:v>6.0154551862192998E-2</c:v>
                </c:pt>
                <c:pt idx="4">
                  <c:v>6.1818999999999999E-2</c:v>
                </c:pt>
                <c:pt idx="5">
                  <c:v>6.05261216547388E-2</c:v>
                </c:pt>
                <c:pt idx="6">
                  <c:v>5.9711E-2</c:v>
                </c:pt>
                <c:pt idx="7" formatCode="General">
                  <c:v>0.06</c:v>
                </c:pt>
                <c:pt idx="8" formatCode="General">
                  <c:v>6.0676000000000001E-2</c:v>
                </c:pt>
                <c:pt idx="9" formatCode="General">
                  <c:v>6.0510000000000001E-2</c:v>
                </c:pt>
                <c:pt idx="10" formatCode="General">
                  <c:v>6.1006999999999999E-2</c:v>
                </c:pt>
                <c:pt idx="11" formatCode="General">
                  <c:v>6.0684000000000002E-2</c:v>
                </c:pt>
                <c:pt idx="12" formatCode="General">
                  <c:v>6.1475000000000002E-2</c:v>
                </c:pt>
                <c:pt idx="13" formatCode="General">
                  <c:v>6.0644999999999998E-2</c:v>
                </c:pt>
                <c:pt idx="14" formatCode="General">
                  <c:v>6.0474E-2</c:v>
                </c:pt>
                <c:pt idx="15" formatCode="General">
                  <c:v>6.0684000000000002E-2</c:v>
                </c:pt>
                <c:pt idx="16" formatCode="General">
                  <c:v>6.0479999999999999E-2</c:v>
                </c:pt>
                <c:pt idx="17" formatCode="General">
                  <c:v>6.0470999999999997E-2</c:v>
                </c:pt>
                <c:pt idx="18" formatCode="General">
                  <c:v>6.0469000000000002E-2</c:v>
                </c:pt>
                <c:pt idx="19" formatCode="General">
                  <c:v>6.0470000000000003E-2</c:v>
                </c:pt>
                <c:pt idx="20" formatCode="General">
                  <c:v>6.0468000000000001E-2</c:v>
                </c:pt>
                <c:pt idx="21" formatCode="General">
                  <c:v>6.0470000000000003E-2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60-4F21-BAB4-9045CD12A6C1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Sheet1!$K$130:$K$151</c:f>
              <c:numCache>
                <c:formatCode>#,##0.00</c:formatCode>
                <c:ptCount val="22"/>
                <c:pt idx="0">
                  <c:v>5.9582999999999997E-2</c:v>
                </c:pt>
                <c:pt idx="1">
                  <c:v>5.9781000000000001E-2</c:v>
                </c:pt>
                <c:pt idx="2">
                  <c:v>5.9831641345295603E-2</c:v>
                </c:pt>
                <c:pt idx="3">
                  <c:v>6.0010831756969203E-2</c:v>
                </c:pt>
                <c:pt idx="4">
                  <c:v>6.2241999999999999E-2</c:v>
                </c:pt>
                <c:pt idx="5">
                  <c:v>5.9780249152843697E-2</c:v>
                </c:pt>
                <c:pt idx="6">
                  <c:v>5.9782000000000002E-2</c:v>
                </c:pt>
                <c:pt idx="7" formatCode="General">
                  <c:v>0.06</c:v>
                </c:pt>
                <c:pt idx="8" formatCode="General">
                  <c:v>6.0214999999999998E-2</c:v>
                </c:pt>
                <c:pt idx="9" formatCode="General">
                  <c:v>5.9858000000000001E-2</c:v>
                </c:pt>
                <c:pt idx="10" formatCode="General">
                  <c:v>6.0262999999999997E-2</c:v>
                </c:pt>
                <c:pt idx="11" formatCode="General">
                  <c:v>6.0159999999999998E-2</c:v>
                </c:pt>
                <c:pt idx="12" formatCode="General">
                  <c:v>6.0156000000000001E-2</c:v>
                </c:pt>
                <c:pt idx="13" formatCode="General">
                  <c:v>6.0297000000000003E-2</c:v>
                </c:pt>
                <c:pt idx="14" formatCode="General">
                  <c:v>6.0068999999999997E-2</c:v>
                </c:pt>
                <c:pt idx="15" formatCode="General">
                  <c:v>5.9748999999999997E-2</c:v>
                </c:pt>
                <c:pt idx="16" formatCode="General">
                  <c:v>5.9840999999999998E-2</c:v>
                </c:pt>
                <c:pt idx="17" formatCode="General">
                  <c:v>5.9781000000000001E-2</c:v>
                </c:pt>
                <c:pt idx="18" formatCode="General">
                  <c:v>5.9864000000000001E-2</c:v>
                </c:pt>
                <c:pt idx="19" formatCode="General">
                  <c:v>5.9964999999999997E-2</c:v>
                </c:pt>
                <c:pt idx="20" formatCode="General">
                  <c:v>5.9894000000000003E-2</c:v>
                </c:pt>
                <c:pt idx="21" formatCode="General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60-4F21-BAB4-9045CD12A6C1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Sheet1!$L$130:$L$151</c:f>
              <c:numCache>
                <c:formatCode>#,##0.00</c:formatCode>
                <c:ptCount val="22"/>
                <c:pt idx="0">
                  <c:v>6.4068E-2</c:v>
                </c:pt>
                <c:pt idx="1">
                  <c:v>6.053E-2</c:v>
                </c:pt>
                <c:pt idx="2">
                  <c:v>6.0385038124982401E-2</c:v>
                </c:pt>
                <c:pt idx="3">
                  <c:v>6.1426494913737702E-2</c:v>
                </c:pt>
                <c:pt idx="4">
                  <c:v>6.2994999999999995E-2</c:v>
                </c:pt>
                <c:pt idx="5">
                  <c:v>6.0344701020363101E-2</c:v>
                </c:pt>
                <c:pt idx="6">
                  <c:v>6.0346999999999998E-2</c:v>
                </c:pt>
                <c:pt idx="7" formatCode="General">
                  <c:v>0.06</c:v>
                </c:pt>
                <c:pt idx="8" formatCode="General">
                  <c:v>6.0798999999999999E-2</c:v>
                </c:pt>
                <c:pt idx="9" formatCode="General">
                  <c:v>6.0675E-2</c:v>
                </c:pt>
                <c:pt idx="10" formatCode="General">
                  <c:v>6.0513999999999998E-2</c:v>
                </c:pt>
                <c:pt idx="11" formatCode="General">
                  <c:v>6.0463000000000003E-2</c:v>
                </c:pt>
                <c:pt idx="12" formatCode="General">
                  <c:v>6.1178000000000003E-2</c:v>
                </c:pt>
                <c:pt idx="13" formatCode="General">
                  <c:v>6.1094000000000002E-2</c:v>
                </c:pt>
                <c:pt idx="14" formatCode="General">
                  <c:v>6.0363E-2</c:v>
                </c:pt>
                <c:pt idx="15" formatCode="General">
                  <c:v>6.0323000000000002E-2</c:v>
                </c:pt>
                <c:pt idx="16" formatCode="General">
                  <c:v>6.0628000000000001E-2</c:v>
                </c:pt>
                <c:pt idx="17" formatCode="General">
                  <c:v>6.0344000000000002E-2</c:v>
                </c:pt>
                <c:pt idx="18" formatCode="General">
                  <c:v>6.0718000000000001E-2</c:v>
                </c:pt>
                <c:pt idx="19" formatCode="General">
                  <c:v>6.0360999999999998E-2</c:v>
                </c:pt>
                <c:pt idx="20" formatCode="General">
                  <c:v>6.0294E-2</c:v>
                </c:pt>
                <c:pt idx="21" formatCode="General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60-4F21-BAB4-9045CD12A6C1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Sheet1!$M$130:$M$151</c:f>
              <c:numCache>
                <c:formatCode>#,##0.00</c:formatCode>
                <c:ptCount val="22"/>
                <c:pt idx="0">
                  <c:v>6.7039000000000001E-2</c:v>
                </c:pt>
                <c:pt idx="1">
                  <c:v>6.3161999999999996E-2</c:v>
                </c:pt>
                <c:pt idx="2">
                  <c:v>6.2401434693772302E-2</c:v>
                </c:pt>
                <c:pt idx="3">
                  <c:v>6.2683817950761E-2</c:v>
                </c:pt>
                <c:pt idx="4">
                  <c:v>6.4398999999999998E-2</c:v>
                </c:pt>
                <c:pt idx="5">
                  <c:v>6.2424662489652602E-2</c:v>
                </c:pt>
                <c:pt idx="6">
                  <c:v>6.2407999999999998E-2</c:v>
                </c:pt>
                <c:pt idx="7" formatCode="General">
                  <c:v>0.06</c:v>
                </c:pt>
                <c:pt idx="8" formatCode="General">
                  <c:v>6.2467000000000002E-2</c:v>
                </c:pt>
                <c:pt idx="9" formatCode="General">
                  <c:v>6.2406000000000003E-2</c:v>
                </c:pt>
                <c:pt idx="10" formatCode="General">
                  <c:v>6.2747999999999998E-2</c:v>
                </c:pt>
                <c:pt idx="11" formatCode="General">
                  <c:v>6.2616000000000005E-2</c:v>
                </c:pt>
                <c:pt idx="12" formatCode="General">
                  <c:v>6.2923999999999994E-2</c:v>
                </c:pt>
                <c:pt idx="13" formatCode="General">
                  <c:v>6.2594999999999998E-2</c:v>
                </c:pt>
                <c:pt idx="14" formatCode="General">
                  <c:v>6.2336000000000003E-2</c:v>
                </c:pt>
                <c:pt idx="15" formatCode="General">
                  <c:v>6.2351999999999998E-2</c:v>
                </c:pt>
                <c:pt idx="16" formatCode="General">
                  <c:v>6.2518000000000004E-2</c:v>
                </c:pt>
                <c:pt idx="17" formatCode="General">
                  <c:v>6.2376000000000001E-2</c:v>
                </c:pt>
                <c:pt idx="18" formatCode="General">
                  <c:v>6.2391000000000002E-2</c:v>
                </c:pt>
                <c:pt idx="19" formatCode="General">
                  <c:v>6.2814999999999996E-2</c:v>
                </c:pt>
                <c:pt idx="20" formatCode="General">
                  <c:v>6.3842999999999997E-2</c:v>
                </c:pt>
                <c:pt idx="21" formatCode="General">
                  <c:v>6.2376000000000001E-2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A60-4F21-BAB4-9045CD12A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5250928"/>
        <c:axId val="1405247568"/>
      </c:barChart>
      <c:catAx>
        <c:axId val="1405250928"/>
        <c:scaling>
          <c:orientation val="minMax"/>
        </c:scaling>
        <c:delete val="1"/>
        <c:axPos val="l"/>
        <c:majorTickMark val="none"/>
        <c:minorTickMark val="none"/>
        <c:tickLblPos val="nextTo"/>
        <c:crossAx val="1405247568"/>
        <c:crosses val="autoZero"/>
        <c:auto val="1"/>
        <c:lblAlgn val="ctr"/>
        <c:lblOffset val="100"/>
        <c:noMultiLvlLbl val="0"/>
      </c:catAx>
      <c:valAx>
        <c:axId val="140524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5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Sheet1!$C$164:$C$185</c:f>
              <c:numCache>
                <c:formatCode>#,##0.00</c:formatCode>
                <c:ptCount val="22"/>
                <c:pt idx="0">
                  <c:v>0.23677000000000001</c:v>
                </c:pt>
                <c:pt idx="1">
                  <c:v>5.2042999999999999E-2</c:v>
                </c:pt>
                <c:pt idx="2">
                  <c:v>1.9388686131386001E-2</c:v>
                </c:pt>
                <c:pt idx="3">
                  <c:v>3.3987226277372003E-2</c:v>
                </c:pt>
                <c:pt idx="4">
                  <c:v>0.13366800000000001</c:v>
                </c:pt>
                <c:pt idx="5">
                  <c:v>1.3467244921250799E-2</c:v>
                </c:pt>
                <c:pt idx="6">
                  <c:v>3.3326000000000001E-2</c:v>
                </c:pt>
                <c:pt idx="7">
                  <c:v>0</c:v>
                </c:pt>
                <c:pt idx="8">
                  <c:v>2.4652E-2</c:v>
                </c:pt>
                <c:pt idx="9">
                  <c:v>2.5107999999999998E-2</c:v>
                </c:pt>
                <c:pt idx="10">
                  <c:v>2.3054000000000002E-2</c:v>
                </c:pt>
                <c:pt idx="11">
                  <c:v>3.0130000000000001E-2</c:v>
                </c:pt>
                <c:pt idx="12">
                  <c:v>2.3966999999999999E-2</c:v>
                </c:pt>
                <c:pt idx="13">
                  <c:v>2.5565000000000001E-2</c:v>
                </c:pt>
                <c:pt idx="14">
                  <c:v>1.8945E-2</c:v>
                </c:pt>
                <c:pt idx="15">
                  <c:v>9.3589999999999993E-3</c:v>
                </c:pt>
                <c:pt idx="16">
                  <c:v>1.3011E-2</c:v>
                </c:pt>
                <c:pt idx="17">
                  <c:v>1.9401999999999999E-2</c:v>
                </c:pt>
                <c:pt idx="18">
                  <c:v>2.7619000000000001E-2</c:v>
                </c:pt>
                <c:pt idx="19">
                  <c:v>4.5879999999999997E-2</c:v>
                </c:pt>
                <c:pt idx="20">
                  <c:v>2.4424000000000001E-2</c:v>
                </c:pt>
                <c:pt idx="21">
                  <c:v>4.5879999999999997E-2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5-4810-A26C-075FC41C0B0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Sheet1!$D$164:$D$185</c:f>
              <c:numCache>
                <c:formatCode>#,##0.00</c:formatCode>
                <c:ptCount val="22"/>
                <c:pt idx="0">
                  <c:v>4.3642E-2</c:v>
                </c:pt>
                <c:pt idx="1">
                  <c:v>5.2631999999999998E-2</c:v>
                </c:pt>
                <c:pt idx="2">
                  <c:v>1.9837126748798999E-2</c:v>
                </c:pt>
                <c:pt idx="3">
                  <c:v>4.0509500939652998E-2</c:v>
                </c:pt>
                <c:pt idx="4">
                  <c:v>0.15055299999999999</c:v>
                </c:pt>
                <c:pt idx="5">
                  <c:v>1.4619883040935601E-2</c:v>
                </c:pt>
                <c:pt idx="6">
                  <c:v>1.1487000000000001E-2</c:v>
                </c:pt>
                <c:pt idx="7">
                  <c:v>0.02</c:v>
                </c:pt>
                <c:pt idx="8">
                  <c:v>1.7335E-2</c:v>
                </c:pt>
                <c:pt idx="9">
                  <c:v>1.2949E-2</c:v>
                </c:pt>
                <c:pt idx="10">
                  <c:v>1.9841000000000001E-2</c:v>
                </c:pt>
                <c:pt idx="11">
                  <c:v>1.4619999999999999E-2</c:v>
                </c:pt>
                <c:pt idx="12">
                  <c:v>2.2765000000000001E-2</c:v>
                </c:pt>
                <c:pt idx="13">
                  <c:v>1.8379E-2</c:v>
                </c:pt>
                <c:pt idx="14">
                  <c:v>1.7125999999999999E-2</c:v>
                </c:pt>
                <c:pt idx="15">
                  <c:v>9.3980000000000001E-3</c:v>
                </c:pt>
                <c:pt idx="16">
                  <c:v>1.8588E-2</c:v>
                </c:pt>
                <c:pt idx="17">
                  <c:v>2.2556E-2</c:v>
                </c:pt>
                <c:pt idx="18">
                  <c:v>2.2974000000000001E-2</c:v>
                </c:pt>
                <c:pt idx="19">
                  <c:v>3.0492999999999999E-2</c:v>
                </c:pt>
                <c:pt idx="20">
                  <c:v>2.4435999999999999E-2</c:v>
                </c:pt>
                <c:pt idx="21">
                  <c:v>3.0492999999999999E-2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E5-4810-A26C-075FC41C0B0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Sheet1!$E$164:$E$185</c:f>
              <c:numCache>
                <c:formatCode>#,##0.00</c:formatCode>
                <c:ptCount val="22"/>
                <c:pt idx="0">
                  <c:v>0.19011700000000001</c:v>
                </c:pt>
                <c:pt idx="1">
                  <c:v>5.0054000000000001E-2</c:v>
                </c:pt>
                <c:pt idx="2">
                  <c:v>2.2658610271902999E-2</c:v>
                </c:pt>
                <c:pt idx="3">
                  <c:v>3.6685369011653E-2</c:v>
                </c:pt>
                <c:pt idx="4">
                  <c:v>0.17199</c:v>
                </c:pt>
                <c:pt idx="5">
                  <c:v>8.9227421109902005E-3</c:v>
                </c:pt>
                <c:pt idx="6">
                  <c:v>2.0674999999999999E-2</c:v>
                </c:pt>
                <c:pt idx="7">
                  <c:v>0.01</c:v>
                </c:pt>
                <c:pt idx="8">
                  <c:v>3.8738000000000002E-2</c:v>
                </c:pt>
                <c:pt idx="9">
                  <c:v>2.0892000000000001E-2</c:v>
                </c:pt>
                <c:pt idx="10">
                  <c:v>2.7855999999999999E-2</c:v>
                </c:pt>
                <c:pt idx="11">
                  <c:v>2.7203000000000001E-2</c:v>
                </c:pt>
                <c:pt idx="12">
                  <c:v>1.6757000000000001E-2</c:v>
                </c:pt>
                <c:pt idx="13">
                  <c:v>2.6551000000000002E-2</c:v>
                </c:pt>
                <c:pt idx="14">
                  <c:v>1.5668999999999999E-2</c:v>
                </c:pt>
                <c:pt idx="15">
                  <c:v>7.3990000000000002E-3</c:v>
                </c:pt>
                <c:pt idx="16">
                  <c:v>1.7193E-2</c:v>
                </c:pt>
                <c:pt idx="17">
                  <c:v>2.6768E-2</c:v>
                </c:pt>
                <c:pt idx="18">
                  <c:v>2.3068999999999999E-2</c:v>
                </c:pt>
                <c:pt idx="19">
                  <c:v>7.1164000000000005E-2</c:v>
                </c:pt>
                <c:pt idx="20">
                  <c:v>1.5668999999999999E-2</c:v>
                </c:pt>
                <c:pt idx="21">
                  <c:v>2.6768E-2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E5-4810-A26C-075FC41C0B0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Sheet1!$F$164:$F$185</c:f>
              <c:numCache>
                <c:formatCode>#,##0.00</c:formatCode>
                <c:ptCount val="22"/>
                <c:pt idx="0">
                  <c:v>7.2385000000000005E-2</c:v>
                </c:pt>
                <c:pt idx="1">
                  <c:v>3.9878999999999998E-2</c:v>
                </c:pt>
                <c:pt idx="2">
                  <c:v>2.9773285987434998E-2</c:v>
                </c:pt>
                <c:pt idx="3">
                  <c:v>4.4250204862059002E-2</c:v>
                </c:pt>
                <c:pt idx="4">
                  <c:v>0.136848</c:v>
                </c:pt>
                <c:pt idx="5">
                  <c:v>1.12761276127612E-2</c:v>
                </c:pt>
                <c:pt idx="6">
                  <c:v>1.8152000000000001E-2</c:v>
                </c:pt>
                <c:pt idx="7">
                  <c:v>0.02</c:v>
                </c:pt>
                <c:pt idx="8">
                  <c:v>2.1727E-2</c:v>
                </c:pt>
                <c:pt idx="9">
                  <c:v>1.7877000000000001E-2</c:v>
                </c:pt>
                <c:pt idx="10">
                  <c:v>4.9500000000000004E-3</c:v>
                </c:pt>
                <c:pt idx="11">
                  <c:v>5.4179999999999999E-2</c:v>
                </c:pt>
                <c:pt idx="12">
                  <c:v>1.5677E-2</c:v>
                </c:pt>
                <c:pt idx="13">
                  <c:v>6.8760000000000002E-3</c:v>
                </c:pt>
                <c:pt idx="14">
                  <c:v>1.2651000000000001E-2</c:v>
                </c:pt>
                <c:pt idx="15">
                  <c:v>1.0725999999999999E-2</c:v>
                </c:pt>
                <c:pt idx="16">
                  <c:v>1.1551000000000001E-2</c:v>
                </c:pt>
                <c:pt idx="17">
                  <c:v>1.0175999999999999E-2</c:v>
                </c:pt>
                <c:pt idx="18">
                  <c:v>1.4026E-2</c:v>
                </c:pt>
                <c:pt idx="19">
                  <c:v>1.4300999999999999E-2</c:v>
                </c:pt>
                <c:pt idx="20">
                  <c:v>1.2651000000000001E-2</c:v>
                </c:pt>
                <c:pt idx="21">
                  <c:v>1.2651000000000001E-2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E5-4810-A26C-075FC41C0B0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Sheet1!$G$164:$G$185</c:f>
              <c:numCache>
                <c:formatCode>#,##0.00</c:formatCode>
                <c:ptCount val="22"/>
                <c:pt idx="0">
                  <c:v>0.19754099999999999</c:v>
                </c:pt>
                <c:pt idx="1">
                  <c:v>9.0700000000000003E-2</c:v>
                </c:pt>
                <c:pt idx="2">
                  <c:v>2.7444253859348001E-2</c:v>
                </c:pt>
                <c:pt idx="3">
                  <c:v>3.9736992567181002E-2</c:v>
                </c:pt>
                <c:pt idx="4">
                  <c:v>0.16180700000000001</c:v>
                </c:pt>
                <c:pt idx="5">
                  <c:v>1.57864523536165E-2</c:v>
                </c:pt>
                <c:pt idx="6">
                  <c:v>1.5212E-2</c:v>
                </c:pt>
                <c:pt idx="7">
                  <c:v>0.01</c:v>
                </c:pt>
                <c:pt idx="8">
                  <c:v>2.0379000000000001E-2</c:v>
                </c:pt>
                <c:pt idx="9">
                  <c:v>1.9231000000000002E-2</c:v>
                </c:pt>
                <c:pt idx="10">
                  <c:v>5.5108999999999998E-2</c:v>
                </c:pt>
                <c:pt idx="11">
                  <c:v>8.6110000000000006E-3</c:v>
                </c:pt>
                <c:pt idx="12">
                  <c:v>4.1619000000000003E-2</c:v>
                </c:pt>
                <c:pt idx="13">
                  <c:v>2.8702999999999999E-2</c:v>
                </c:pt>
                <c:pt idx="14">
                  <c:v>1.7795999999999999E-2</c:v>
                </c:pt>
                <c:pt idx="15">
                  <c:v>1.2055E-2</c:v>
                </c:pt>
                <c:pt idx="16">
                  <c:v>1.6361000000000001E-2</c:v>
                </c:pt>
                <c:pt idx="17">
                  <c:v>1.8370000000000001E-2</c:v>
                </c:pt>
                <c:pt idx="18">
                  <c:v>1.6648E-2</c:v>
                </c:pt>
                <c:pt idx="19">
                  <c:v>1.9518000000000001E-2</c:v>
                </c:pt>
                <c:pt idx="20">
                  <c:v>1.8657E-2</c:v>
                </c:pt>
                <c:pt idx="21">
                  <c:v>1.9518000000000001E-2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E5-4810-A26C-075FC41C0B0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Sheet1!$H$164:$H$185</c:f>
              <c:numCache>
                <c:formatCode>#,##0.00</c:formatCode>
                <c:ptCount val="22"/>
                <c:pt idx="0">
                  <c:v>9.0510999999999994E-2</c:v>
                </c:pt>
                <c:pt idx="1">
                  <c:v>4.9841000000000003E-2</c:v>
                </c:pt>
                <c:pt idx="2">
                  <c:v>1.4841849148418001E-2</c:v>
                </c:pt>
                <c:pt idx="3">
                  <c:v>3.4306569343065002E-2</c:v>
                </c:pt>
                <c:pt idx="4">
                  <c:v>0.14136299999999999</c:v>
                </c:pt>
                <c:pt idx="5">
                  <c:v>1.5392132909846E-2</c:v>
                </c:pt>
                <c:pt idx="6">
                  <c:v>2.8341000000000002E-2</c:v>
                </c:pt>
                <c:pt idx="7">
                  <c:v>0.02</c:v>
                </c:pt>
                <c:pt idx="8">
                  <c:v>1.4171E-2</c:v>
                </c:pt>
                <c:pt idx="9">
                  <c:v>1.5636000000000001E-2</c:v>
                </c:pt>
                <c:pt idx="10">
                  <c:v>1.4903E-2</c:v>
                </c:pt>
                <c:pt idx="11">
                  <c:v>4.471E-2</c:v>
                </c:pt>
                <c:pt idx="12">
                  <c:v>4.0067999999999999E-2</c:v>
                </c:pt>
                <c:pt idx="13">
                  <c:v>5.5948999999999999E-2</c:v>
                </c:pt>
                <c:pt idx="14">
                  <c:v>2.4431999999999999E-2</c:v>
                </c:pt>
                <c:pt idx="15">
                  <c:v>1.4415000000000001E-2</c:v>
                </c:pt>
                <c:pt idx="16">
                  <c:v>2.3942999999999999E-2</c:v>
                </c:pt>
                <c:pt idx="17">
                  <c:v>1.9300999999999999E-2</c:v>
                </c:pt>
                <c:pt idx="18">
                  <c:v>2.2477E-2</c:v>
                </c:pt>
                <c:pt idx="19">
                  <c:v>1.4415000000000001E-2</c:v>
                </c:pt>
                <c:pt idx="20">
                  <c:v>1.3193E-2</c:v>
                </c:pt>
                <c:pt idx="21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E5-4810-A26C-075FC41C0B0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Sheet1!$I$164:$I$185</c:f>
              <c:numCache>
                <c:formatCode>#,##0.00</c:formatCode>
                <c:ptCount val="22"/>
                <c:pt idx="0">
                  <c:v>5.7534000000000002E-2</c:v>
                </c:pt>
                <c:pt idx="1">
                  <c:v>4.7324999999999999E-2</c:v>
                </c:pt>
                <c:pt idx="2">
                  <c:v>2.6899128268991001E-2</c:v>
                </c:pt>
                <c:pt idx="3">
                  <c:v>4.5579078455789998E-2</c:v>
                </c:pt>
                <c:pt idx="4">
                  <c:v>0.115816</c:v>
                </c:pt>
                <c:pt idx="5">
                  <c:v>1.51748971193415E-2</c:v>
                </c:pt>
                <c:pt idx="6">
                  <c:v>1.3292999999999999E-2</c:v>
                </c:pt>
                <c:pt idx="7">
                  <c:v>0.01</c:v>
                </c:pt>
                <c:pt idx="8">
                  <c:v>1.6975000000000001E-2</c:v>
                </c:pt>
                <c:pt idx="9">
                  <c:v>1.1317000000000001E-2</c:v>
                </c:pt>
                <c:pt idx="10">
                  <c:v>1.3632E-2</c:v>
                </c:pt>
                <c:pt idx="11">
                  <c:v>1.0031E-2</c:v>
                </c:pt>
                <c:pt idx="12">
                  <c:v>2.6235000000000001E-2</c:v>
                </c:pt>
                <c:pt idx="13">
                  <c:v>3.9351999999999998E-2</c:v>
                </c:pt>
                <c:pt idx="14">
                  <c:v>1.0545000000000001E-2</c:v>
                </c:pt>
                <c:pt idx="15">
                  <c:v>9.5160000000000002E-3</c:v>
                </c:pt>
                <c:pt idx="16">
                  <c:v>1.0545000000000001E-2</c:v>
                </c:pt>
                <c:pt idx="17">
                  <c:v>1.2088E-2</c:v>
                </c:pt>
                <c:pt idx="18">
                  <c:v>2.3663E-2</c:v>
                </c:pt>
                <c:pt idx="19">
                  <c:v>1.0802000000000001E-2</c:v>
                </c:pt>
                <c:pt idx="20">
                  <c:v>2.0833000000000001E-2</c:v>
                </c:pt>
                <c:pt idx="21">
                  <c:v>2.0833000000000001E-2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E5-4810-A26C-075FC41C0B0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Sheet1!$J$164:$J$185</c:f>
              <c:numCache>
                <c:formatCode>#,##0.00</c:formatCode>
                <c:ptCount val="22"/>
                <c:pt idx="0">
                  <c:v>3.9296999999999999E-2</c:v>
                </c:pt>
                <c:pt idx="1">
                  <c:v>3.2400999999999999E-2</c:v>
                </c:pt>
                <c:pt idx="2">
                  <c:v>2.5281670788678001E-2</c:v>
                </c:pt>
                <c:pt idx="3">
                  <c:v>3.1052486946962998E-2</c:v>
                </c:pt>
                <c:pt idx="4">
                  <c:v>8.3814E-2</c:v>
                </c:pt>
                <c:pt idx="5">
                  <c:v>2.10468014400443E-2</c:v>
                </c:pt>
                <c:pt idx="6">
                  <c:v>2.5463E-2</c:v>
                </c:pt>
                <c:pt idx="7" formatCode="General">
                  <c:v>0.01</c:v>
                </c:pt>
                <c:pt idx="8" formatCode="General">
                  <c:v>2.1323999999999999E-2</c:v>
                </c:pt>
                <c:pt idx="9" formatCode="General">
                  <c:v>1.6062E-2</c:v>
                </c:pt>
                <c:pt idx="10" formatCode="General">
                  <c:v>3.6277999999999998E-2</c:v>
                </c:pt>
                <c:pt idx="11" formatCode="General">
                  <c:v>2.4924000000000002E-2</c:v>
                </c:pt>
                <c:pt idx="12" formatCode="General">
                  <c:v>1.9108E-2</c:v>
                </c:pt>
                <c:pt idx="13" formatCode="General">
                  <c:v>3.2124E-2</c:v>
                </c:pt>
                <c:pt idx="14" formatCode="General">
                  <c:v>1.4123999999999999E-2</c:v>
                </c:pt>
                <c:pt idx="15" formatCode="General">
                  <c:v>2.4924000000000002E-2</c:v>
                </c:pt>
                <c:pt idx="16" formatCode="General">
                  <c:v>1.4123999999999999E-2</c:v>
                </c:pt>
                <c:pt idx="17" formatCode="General">
                  <c:v>1.4123999999999999E-2</c:v>
                </c:pt>
                <c:pt idx="18" formatCode="General">
                  <c:v>1.4123999999999999E-2</c:v>
                </c:pt>
                <c:pt idx="19" formatCode="General">
                  <c:v>1.44E-2</c:v>
                </c:pt>
                <c:pt idx="20" formatCode="General">
                  <c:v>1.1354E-2</c:v>
                </c:pt>
                <c:pt idx="21" formatCode="General">
                  <c:v>1.44E-2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E5-4810-A26C-075FC41C0B0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Sheet1!$K$164:$K$185</c:f>
              <c:numCache>
                <c:formatCode>#,##0.00</c:formatCode>
                <c:ptCount val="22"/>
                <c:pt idx="0">
                  <c:v>2.8587000000000001E-2</c:v>
                </c:pt>
                <c:pt idx="1">
                  <c:v>2.7785000000000001E-2</c:v>
                </c:pt>
                <c:pt idx="2">
                  <c:v>3.5665668390960997E-2</c:v>
                </c:pt>
                <c:pt idx="3">
                  <c:v>3.2398584263544E-2</c:v>
                </c:pt>
                <c:pt idx="4">
                  <c:v>9.7739999999999994E-2</c:v>
                </c:pt>
                <c:pt idx="5">
                  <c:v>1.7331499312242E-2</c:v>
                </c:pt>
                <c:pt idx="6">
                  <c:v>1.5681E-2</c:v>
                </c:pt>
                <c:pt idx="7" formatCode="General">
                  <c:v>0.01</c:v>
                </c:pt>
                <c:pt idx="8" formatCode="General">
                  <c:v>2.1183E-2</c:v>
                </c:pt>
                <c:pt idx="9" formatCode="General">
                  <c:v>1.4855999999999999E-2</c:v>
                </c:pt>
                <c:pt idx="10" formatCode="General">
                  <c:v>5.8047000000000001E-2</c:v>
                </c:pt>
                <c:pt idx="11" formatCode="General">
                  <c:v>4.4567000000000002E-2</c:v>
                </c:pt>
                <c:pt idx="12" formatCode="General">
                  <c:v>5.4746000000000003E-2</c:v>
                </c:pt>
                <c:pt idx="13" formatCode="General">
                  <c:v>4.3741000000000002E-2</c:v>
                </c:pt>
                <c:pt idx="14" formatCode="General">
                  <c:v>1.7330999999999999E-2</c:v>
                </c:pt>
                <c:pt idx="15" formatCode="General">
                  <c:v>1.0179000000000001E-2</c:v>
                </c:pt>
                <c:pt idx="16" formatCode="General">
                  <c:v>2.4759E-2</c:v>
                </c:pt>
                <c:pt idx="17" formatCode="General">
                  <c:v>1.6781000000000001E-2</c:v>
                </c:pt>
                <c:pt idx="18" formatCode="General">
                  <c:v>2.3658999999999999E-2</c:v>
                </c:pt>
                <c:pt idx="19" formatCode="General">
                  <c:v>2.2008E-2</c:v>
                </c:pt>
                <c:pt idx="20" formatCode="General">
                  <c:v>2.3658999999999999E-2</c:v>
                </c:pt>
                <c:pt idx="21" formatCode="General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E5-4810-A26C-075FC41C0B0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Sheet1!$L$164:$L$185</c:f>
              <c:numCache>
                <c:formatCode>#,##0.00</c:formatCode>
                <c:ptCount val="22"/>
                <c:pt idx="0">
                  <c:v>0.14003299999999999</c:v>
                </c:pt>
                <c:pt idx="1">
                  <c:v>4.4867999999999998E-2</c:v>
                </c:pt>
                <c:pt idx="2">
                  <c:v>2.0044543429843999E-2</c:v>
                </c:pt>
                <c:pt idx="3">
                  <c:v>3.1180400890868001E-2</c:v>
                </c:pt>
                <c:pt idx="4">
                  <c:v>0.14560100000000001</c:v>
                </c:pt>
                <c:pt idx="5">
                  <c:v>2.4397083567021801E-2</c:v>
                </c:pt>
                <c:pt idx="6">
                  <c:v>2.4677999999999999E-2</c:v>
                </c:pt>
                <c:pt idx="7" formatCode="General">
                  <c:v>0.01</c:v>
                </c:pt>
                <c:pt idx="8" formatCode="General">
                  <c:v>1.8228000000000001E-2</c:v>
                </c:pt>
                <c:pt idx="9" formatCode="General">
                  <c:v>2.4677999999999999E-2</c:v>
                </c:pt>
                <c:pt idx="10" formatCode="General">
                  <c:v>3.0565999999999999E-2</c:v>
                </c:pt>
                <c:pt idx="11" formatCode="General">
                  <c:v>3.1407999999999998E-2</c:v>
                </c:pt>
                <c:pt idx="12" formatCode="General">
                  <c:v>3.4492000000000002E-2</c:v>
                </c:pt>
                <c:pt idx="13" formatCode="General">
                  <c:v>4.7953000000000003E-2</c:v>
                </c:pt>
                <c:pt idx="14" formatCode="General">
                  <c:v>1.8508E-2</c:v>
                </c:pt>
                <c:pt idx="15" formatCode="General">
                  <c:v>7.5719999999999997E-3</c:v>
                </c:pt>
                <c:pt idx="16" formatCode="General">
                  <c:v>1.29E-2</c:v>
                </c:pt>
                <c:pt idx="17" formatCode="General">
                  <c:v>1.6265000000000002E-2</c:v>
                </c:pt>
                <c:pt idx="18" formatCode="General">
                  <c:v>1.5984000000000002E-2</c:v>
                </c:pt>
                <c:pt idx="19" formatCode="General">
                  <c:v>2.8603E-2</c:v>
                </c:pt>
                <c:pt idx="20" formatCode="General">
                  <c:v>1.1778E-2</c:v>
                </c:pt>
                <c:pt idx="21" formatCode="General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9E5-4810-A26C-075FC41C0B0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Sheet1!$B$164:$B$185</c:f>
              <c:strCache>
                <c:ptCount val="22"/>
                <c:pt idx="0">
                  <c:v>0.31</c:v>
                </c:pt>
                <c:pt idx="1">
                  <c:v>0.07</c:v>
                </c:pt>
                <c:pt idx="2">
                  <c:v>0.01</c:v>
                </c:pt>
                <c:pt idx="3">
                  <c:v>0.04</c:v>
                </c:pt>
                <c:pt idx="4">
                  <c:v>0.12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0.034352</c:v>
                </c:pt>
                <c:pt idx="9">
                  <c:v>0.027008</c:v>
                </c:pt>
                <c:pt idx="10">
                  <c:v>0.067046</c:v>
                </c:pt>
                <c:pt idx="11">
                  <c:v>0.0199</c:v>
                </c:pt>
                <c:pt idx="12">
                  <c:v>0.023454</c:v>
                </c:pt>
                <c:pt idx="13">
                  <c:v>0.035063</c:v>
                </c:pt>
                <c:pt idx="14">
                  <c:v>0.021559</c:v>
                </c:pt>
                <c:pt idx="15">
                  <c:v>0.008055</c:v>
                </c:pt>
                <c:pt idx="16">
                  <c:v>0.023691</c:v>
                </c:pt>
                <c:pt idx="17">
                  <c:v>0.013741</c:v>
                </c:pt>
                <c:pt idx="18">
                  <c:v>0.02227</c:v>
                </c:pt>
                <c:pt idx="19">
                  <c:v>0.021322</c:v>
                </c:pt>
                <c:pt idx="20">
                  <c:v>0.037669</c:v>
                </c:pt>
                <c:pt idx="21">
                  <c:v>0.021322</c:v>
                </c:pt>
              </c:strCache>
            </c:strRef>
          </c:cat>
          <c:val>
            <c:numRef>
              <c:f>Sheet1!$M$164:$M$185</c:f>
              <c:numCache>
                <c:formatCode>#,##0.00</c:formatCode>
                <c:ptCount val="22"/>
                <c:pt idx="0">
                  <c:v>0.218497</c:v>
                </c:pt>
                <c:pt idx="1">
                  <c:v>7.4321999999999999E-2</c:v>
                </c:pt>
                <c:pt idx="2">
                  <c:v>2.3988439306357998E-2</c:v>
                </c:pt>
                <c:pt idx="3">
                  <c:v>3.9017341040461999E-2</c:v>
                </c:pt>
                <c:pt idx="4">
                  <c:v>0.110694</c:v>
                </c:pt>
                <c:pt idx="5">
                  <c:v>2.2150976391722501E-2</c:v>
                </c:pt>
                <c:pt idx="6">
                  <c:v>2.4774000000000001E-2</c:v>
                </c:pt>
                <c:pt idx="7" formatCode="General">
                  <c:v>0.02</c:v>
                </c:pt>
                <c:pt idx="8" formatCode="General">
                  <c:v>2.6231000000000001E-2</c:v>
                </c:pt>
                <c:pt idx="9" formatCode="General">
                  <c:v>1.7779E-2</c:v>
                </c:pt>
                <c:pt idx="10" formatCode="General">
                  <c:v>1.4282E-2</c:v>
                </c:pt>
                <c:pt idx="11" formatCode="General">
                  <c:v>4.8965000000000002E-2</c:v>
                </c:pt>
                <c:pt idx="12" formatCode="General">
                  <c:v>2.2442E-2</c:v>
                </c:pt>
                <c:pt idx="13" formatCode="General">
                  <c:v>5.0423000000000003E-2</c:v>
                </c:pt>
                <c:pt idx="14" formatCode="General">
                  <c:v>2.7688999999999998E-2</c:v>
                </c:pt>
                <c:pt idx="15" formatCode="General">
                  <c:v>1.2533000000000001E-2</c:v>
                </c:pt>
                <c:pt idx="16" formatCode="General">
                  <c:v>2.3608000000000001E-2</c:v>
                </c:pt>
                <c:pt idx="17" formatCode="General">
                  <c:v>1.7195999999999999E-2</c:v>
                </c:pt>
                <c:pt idx="18" formatCode="General">
                  <c:v>2.0402E-2</c:v>
                </c:pt>
                <c:pt idx="19" formatCode="General">
                  <c:v>2.7397000000000001E-2</c:v>
                </c:pt>
                <c:pt idx="20" formatCode="General">
                  <c:v>3.9056E-2</c:v>
                </c:pt>
                <c:pt idx="21" formatCode="General">
                  <c:v>1.7195999999999999E-2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E5-4810-A26C-075FC41C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6250432"/>
        <c:axId val="666248992"/>
      </c:barChart>
      <c:catAx>
        <c:axId val="666250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6248992"/>
        <c:crosses val="autoZero"/>
        <c:auto val="1"/>
        <c:lblAlgn val="ctr"/>
        <c:lblOffset val="100"/>
        <c:noMultiLvlLbl val="0"/>
      </c:catAx>
      <c:valAx>
        <c:axId val="66624899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25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186951746171514E-2"/>
          <c:y val="1.2885639970377196E-2"/>
          <c:w val="0.84627109599477202"/>
          <c:h val="0.92590119114064284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Sheet1!$P$196:$P$217</c:f>
              <c:numCache>
                <c:formatCode>General</c:formatCode>
                <c:ptCount val="22"/>
                <c:pt idx="0">
                  <c:v>0.21432999999999996</c:v>
                </c:pt>
                <c:pt idx="1">
                  <c:v>0.33163799999999999</c:v>
                </c:pt>
                <c:pt idx="2">
                  <c:v>0.42975566533882198</c:v>
                </c:pt>
                <c:pt idx="3">
                  <c:v>0.33059452348131696</c:v>
                </c:pt>
                <c:pt idx="4">
                  <c:v>0.29187999999999997</c:v>
                </c:pt>
                <c:pt idx="5">
                  <c:v>0.3034702908874915</c:v>
                </c:pt>
                <c:pt idx="6">
                  <c:v>0.33221199999999995</c:v>
                </c:pt>
                <c:pt idx="7">
                  <c:v>0.31</c:v>
                </c:pt>
                <c:pt idx="8">
                  <c:v>0.25289</c:v>
                </c:pt>
                <c:pt idx="9">
                  <c:v>0.32136199999999998</c:v>
                </c:pt>
                <c:pt idx="10">
                  <c:v>0.17183999999999999</c:v>
                </c:pt>
                <c:pt idx="11">
                  <c:v>0.34126299999999998</c:v>
                </c:pt>
                <c:pt idx="12">
                  <c:v>0.33538199999999996</c:v>
                </c:pt>
                <c:pt idx="13">
                  <c:v>0.17036999999999997</c:v>
                </c:pt>
                <c:pt idx="14">
                  <c:v>0.25327</c:v>
                </c:pt>
                <c:pt idx="15">
                  <c:v>0.38505899999999998</c:v>
                </c:pt>
                <c:pt idx="16">
                  <c:v>0.30481399999999997</c:v>
                </c:pt>
                <c:pt idx="17">
                  <c:v>0.21748999999999996</c:v>
                </c:pt>
                <c:pt idx="18">
                  <c:v>0.27233999999999997</c:v>
                </c:pt>
                <c:pt idx="19">
                  <c:v>0.31348799999999999</c:v>
                </c:pt>
                <c:pt idx="20">
                  <c:v>0.29685499999999998</c:v>
                </c:pt>
                <c:pt idx="21">
                  <c:v>0.31348799999999999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C-464B-AB3A-C5AA501B1FB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Sheet1!$Q$196:$Q$217</c:f>
              <c:numCache>
                <c:formatCode>General</c:formatCode>
                <c:ptCount val="22"/>
                <c:pt idx="0">
                  <c:v>0.21179999999999999</c:v>
                </c:pt>
                <c:pt idx="1">
                  <c:v>0.30906299999999998</c:v>
                </c:pt>
                <c:pt idx="2">
                  <c:v>0.44629204800782796</c:v>
                </c:pt>
                <c:pt idx="3">
                  <c:v>0.31464635946895786</c:v>
                </c:pt>
                <c:pt idx="4">
                  <c:v>0.30873499999999998</c:v>
                </c:pt>
                <c:pt idx="5">
                  <c:v>0.31471036042459427</c:v>
                </c:pt>
                <c:pt idx="6">
                  <c:v>0.29233999999999999</c:v>
                </c:pt>
                <c:pt idx="7">
                  <c:v>0.28999999999999998</c:v>
                </c:pt>
                <c:pt idx="8">
                  <c:v>0.17964999999999998</c:v>
                </c:pt>
                <c:pt idx="9">
                  <c:v>0.30266199999999999</c:v>
                </c:pt>
                <c:pt idx="10">
                  <c:v>0.32382299999999997</c:v>
                </c:pt>
                <c:pt idx="11">
                  <c:v>0.32128399999999996</c:v>
                </c:pt>
                <c:pt idx="12">
                  <c:v>0.31056299999999998</c:v>
                </c:pt>
                <c:pt idx="13">
                  <c:v>0.32655699999999999</c:v>
                </c:pt>
                <c:pt idx="14">
                  <c:v>0.26935999999999999</c:v>
                </c:pt>
                <c:pt idx="15">
                  <c:v>0.34330299999999997</c:v>
                </c:pt>
                <c:pt idx="16">
                  <c:v>0.33126899999999998</c:v>
                </c:pt>
                <c:pt idx="17">
                  <c:v>0.25888999999999995</c:v>
                </c:pt>
                <c:pt idx="18">
                  <c:v>0.30024000000000001</c:v>
                </c:pt>
                <c:pt idx="19">
                  <c:v>0.26880999999999999</c:v>
                </c:pt>
                <c:pt idx="20">
                  <c:v>0.12818999999999997</c:v>
                </c:pt>
                <c:pt idx="21">
                  <c:v>0.26880999999999999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C-464B-AB3A-C5AA501B1FB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Sheet1!$R$196:$R$217</c:f>
              <c:numCache>
                <c:formatCode>General</c:formatCode>
                <c:ptCount val="22"/>
                <c:pt idx="0">
                  <c:v>0.28025</c:v>
                </c:pt>
                <c:pt idx="1">
                  <c:v>0.27532999999999996</c:v>
                </c:pt>
                <c:pt idx="2">
                  <c:v>0.42682231164238699</c:v>
                </c:pt>
                <c:pt idx="3">
                  <c:v>0.23404837677920279</c:v>
                </c:pt>
                <c:pt idx="4">
                  <c:v>0.23197999999999996</c:v>
                </c:pt>
                <c:pt idx="5">
                  <c:v>0.22369240566440798</c:v>
                </c:pt>
                <c:pt idx="6">
                  <c:v>9.3999999999999972E-2</c:v>
                </c:pt>
                <c:pt idx="7">
                  <c:v>4.9999999999999989E-2</c:v>
                </c:pt>
                <c:pt idx="8">
                  <c:v>0.15450999999999998</c:v>
                </c:pt>
                <c:pt idx="9">
                  <c:v>7.7969999999999984E-2</c:v>
                </c:pt>
                <c:pt idx="10">
                  <c:v>5.7899999999999979E-2</c:v>
                </c:pt>
                <c:pt idx="11">
                  <c:v>4.9519999999999981E-2</c:v>
                </c:pt>
                <c:pt idx="12">
                  <c:v>0.30846899999999999</c:v>
                </c:pt>
                <c:pt idx="13">
                  <c:v>8.1199999999999967E-2</c:v>
                </c:pt>
                <c:pt idx="14">
                  <c:v>6.5749999999999975E-2</c:v>
                </c:pt>
                <c:pt idx="15">
                  <c:v>0.36275399999999997</c:v>
                </c:pt>
                <c:pt idx="16">
                  <c:v>0.23506999999999997</c:v>
                </c:pt>
                <c:pt idx="17">
                  <c:v>0.17197999999999997</c:v>
                </c:pt>
                <c:pt idx="18">
                  <c:v>0.22286999999999998</c:v>
                </c:pt>
                <c:pt idx="19">
                  <c:v>0.17398999999999998</c:v>
                </c:pt>
                <c:pt idx="20">
                  <c:v>0.10261999999999999</c:v>
                </c:pt>
                <c:pt idx="21">
                  <c:v>0.17398999999999998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EC-464B-AB3A-C5AA501B1FB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Sheet1!$S$196:$S$217</c:f>
              <c:numCache>
                <c:formatCode>General</c:formatCode>
                <c:ptCount val="22"/>
                <c:pt idx="0">
                  <c:v>0.23637999999999998</c:v>
                </c:pt>
                <c:pt idx="1">
                  <c:v>0.27883999999999998</c:v>
                </c:pt>
                <c:pt idx="2">
                  <c:v>0.36499955059913697</c:v>
                </c:pt>
                <c:pt idx="3">
                  <c:v>0.19181709665405827</c:v>
                </c:pt>
                <c:pt idx="4">
                  <c:v>0.26749999999999996</c:v>
                </c:pt>
                <c:pt idx="5">
                  <c:v>0.15951958655209997</c:v>
                </c:pt>
                <c:pt idx="6">
                  <c:v>7.6249999999999984E-2</c:v>
                </c:pt>
                <c:pt idx="7">
                  <c:v>0.19999999999999998</c:v>
                </c:pt>
                <c:pt idx="8">
                  <c:v>0.20165</c:v>
                </c:pt>
                <c:pt idx="9">
                  <c:v>0.23673999999999998</c:v>
                </c:pt>
                <c:pt idx="10">
                  <c:v>0.31305099999999997</c:v>
                </c:pt>
                <c:pt idx="11">
                  <c:v>0.34757199999999999</c:v>
                </c:pt>
                <c:pt idx="12">
                  <c:v>0.25595000000000001</c:v>
                </c:pt>
                <c:pt idx="13">
                  <c:v>0.35253599999999996</c:v>
                </c:pt>
                <c:pt idx="14">
                  <c:v>0.24895999999999999</c:v>
                </c:pt>
                <c:pt idx="15">
                  <c:v>0.301479</c:v>
                </c:pt>
                <c:pt idx="16">
                  <c:v>0.22188999999999998</c:v>
                </c:pt>
                <c:pt idx="17">
                  <c:v>0.25550999999999996</c:v>
                </c:pt>
                <c:pt idx="18">
                  <c:v>0.11040999999999998</c:v>
                </c:pt>
                <c:pt idx="19">
                  <c:v>0.13214999999999999</c:v>
                </c:pt>
                <c:pt idx="20">
                  <c:v>-4.850000000000021E-3</c:v>
                </c:pt>
                <c:pt idx="21">
                  <c:v>0.25550999999999996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EC-464B-AB3A-C5AA501B1FB3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Sheet1!$T$196:$T$217</c:f>
              <c:numCache>
                <c:formatCode>General</c:formatCode>
                <c:ptCount val="22"/>
                <c:pt idx="0">
                  <c:v>0.324015</c:v>
                </c:pt>
                <c:pt idx="1">
                  <c:v>0.31790999999999997</c:v>
                </c:pt>
                <c:pt idx="2">
                  <c:v>0.42380575434047696</c:v>
                </c:pt>
                <c:pt idx="3">
                  <c:v>0.37893297537272908</c:v>
                </c:pt>
                <c:pt idx="4">
                  <c:v>0.25544</c:v>
                </c:pt>
                <c:pt idx="5">
                  <c:v>0.33012955758532025</c:v>
                </c:pt>
                <c:pt idx="6">
                  <c:v>0.34186</c:v>
                </c:pt>
                <c:pt idx="7">
                  <c:v>0.39</c:v>
                </c:pt>
                <c:pt idx="8">
                  <c:v>0.328623</c:v>
                </c:pt>
                <c:pt idx="9">
                  <c:v>0.34465299999999999</c:v>
                </c:pt>
                <c:pt idx="10">
                  <c:v>0.33957699999999996</c:v>
                </c:pt>
                <c:pt idx="11">
                  <c:v>0.16359999999999997</c:v>
                </c:pt>
                <c:pt idx="12">
                  <c:v>0.27723999999999999</c:v>
                </c:pt>
                <c:pt idx="13">
                  <c:v>0.34419499999999997</c:v>
                </c:pt>
                <c:pt idx="14">
                  <c:v>0.33067299999999999</c:v>
                </c:pt>
                <c:pt idx="15">
                  <c:v>0.25390999999999997</c:v>
                </c:pt>
                <c:pt idx="16">
                  <c:v>0.32220899999999997</c:v>
                </c:pt>
                <c:pt idx="17">
                  <c:v>0.31785799999999997</c:v>
                </c:pt>
                <c:pt idx="18">
                  <c:v>0.38181899999999996</c:v>
                </c:pt>
                <c:pt idx="19">
                  <c:v>0.342916</c:v>
                </c:pt>
                <c:pt idx="20">
                  <c:v>0.39025699999999997</c:v>
                </c:pt>
                <c:pt idx="21">
                  <c:v>0.39025699999999997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EC-464B-AB3A-C5AA501B1FB3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Sheet1!$U$196:$U$217</c:f>
              <c:numCache>
                <c:formatCode>General</c:formatCode>
                <c:ptCount val="22"/>
                <c:pt idx="0">
                  <c:v>0.27692</c:v>
                </c:pt>
                <c:pt idx="1">
                  <c:v>0.29407299999999997</c:v>
                </c:pt>
                <c:pt idx="2">
                  <c:v>0.40535465829108397</c:v>
                </c:pt>
                <c:pt idx="3">
                  <c:v>0.33467130062014239</c:v>
                </c:pt>
                <c:pt idx="4">
                  <c:v>0.26943999999999996</c:v>
                </c:pt>
                <c:pt idx="5">
                  <c:v>0.32029071246954366</c:v>
                </c:pt>
                <c:pt idx="6">
                  <c:v>0.31233099999999997</c:v>
                </c:pt>
                <c:pt idx="7">
                  <c:v>0.31</c:v>
                </c:pt>
                <c:pt idx="8">
                  <c:v>0.32250699999999999</c:v>
                </c:pt>
                <c:pt idx="9">
                  <c:v>0.310753</c:v>
                </c:pt>
                <c:pt idx="10">
                  <c:v>0.27151999999999998</c:v>
                </c:pt>
                <c:pt idx="11">
                  <c:v>0.18089999999999998</c:v>
                </c:pt>
                <c:pt idx="12">
                  <c:v>0.22762999999999997</c:v>
                </c:pt>
                <c:pt idx="13">
                  <c:v>0.26355999999999996</c:v>
                </c:pt>
                <c:pt idx="14">
                  <c:v>0.30415499999999995</c:v>
                </c:pt>
                <c:pt idx="15">
                  <c:v>0.39427199999999996</c:v>
                </c:pt>
                <c:pt idx="16">
                  <c:v>0.30278899999999997</c:v>
                </c:pt>
                <c:pt idx="17">
                  <c:v>0.32013599999999998</c:v>
                </c:pt>
                <c:pt idx="18">
                  <c:v>0.31203199999999998</c:v>
                </c:pt>
                <c:pt idx="19">
                  <c:v>0.34300999999999998</c:v>
                </c:pt>
                <c:pt idx="20">
                  <c:v>0.34175999999999995</c:v>
                </c:pt>
                <c:pt idx="21">
                  <c:v>0.34300999999999998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EC-464B-AB3A-C5AA501B1FB3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Sheet1!$V$196:$V$217</c:f>
              <c:numCache>
                <c:formatCode>General</c:formatCode>
                <c:ptCount val="22"/>
                <c:pt idx="0">
                  <c:v>0.292962</c:v>
                </c:pt>
                <c:pt idx="1">
                  <c:v>0.35539199999999999</c:v>
                </c:pt>
                <c:pt idx="2">
                  <c:v>0.50250307674053296</c:v>
                </c:pt>
                <c:pt idx="3">
                  <c:v>0.36103348337161001</c:v>
                </c:pt>
                <c:pt idx="4">
                  <c:v>0.33199299999999998</c:v>
                </c:pt>
                <c:pt idx="5">
                  <c:v>0.3379414450037605</c:v>
                </c:pt>
                <c:pt idx="6">
                  <c:v>0.35512299999999997</c:v>
                </c:pt>
                <c:pt idx="7">
                  <c:v>0.36</c:v>
                </c:pt>
                <c:pt idx="8">
                  <c:v>0.27138999999999996</c:v>
                </c:pt>
                <c:pt idx="9">
                  <c:v>0.32277800000000001</c:v>
                </c:pt>
                <c:pt idx="10">
                  <c:v>0.32080500000000001</c:v>
                </c:pt>
                <c:pt idx="11">
                  <c:v>0.19151999999999997</c:v>
                </c:pt>
                <c:pt idx="12">
                  <c:v>0.16743999999999998</c:v>
                </c:pt>
                <c:pt idx="13">
                  <c:v>0.17834</c:v>
                </c:pt>
                <c:pt idx="14">
                  <c:v>0.35995699999999997</c:v>
                </c:pt>
                <c:pt idx="15">
                  <c:v>0.36914999999999998</c:v>
                </c:pt>
                <c:pt idx="16">
                  <c:v>0.339196</c:v>
                </c:pt>
                <c:pt idx="17">
                  <c:v>0.32596799999999998</c:v>
                </c:pt>
                <c:pt idx="18">
                  <c:v>0.37250499999999998</c:v>
                </c:pt>
                <c:pt idx="19">
                  <c:v>0.29358799999999996</c:v>
                </c:pt>
                <c:pt idx="20">
                  <c:v>0.27595999999999998</c:v>
                </c:pt>
                <c:pt idx="21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EC-464B-AB3A-C5AA501B1FB3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Sheet1!$W$196:$W$217</c:f>
              <c:numCache>
                <c:formatCode>General</c:formatCode>
                <c:ptCount val="22"/>
                <c:pt idx="0">
                  <c:v>0.29552599999999996</c:v>
                </c:pt>
                <c:pt idx="1">
                  <c:v>0.318666</c:v>
                </c:pt>
                <c:pt idx="2">
                  <c:v>0.45674365598401201</c:v>
                </c:pt>
                <c:pt idx="3">
                  <c:v>0.3014685173560519</c:v>
                </c:pt>
                <c:pt idx="4">
                  <c:v>0.29747899999999999</c:v>
                </c:pt>
                <c:pt idx="5">
                  <c:v>0.31931224205293679</c:v>
                </c:pt>
                <c:pt idx="6">
                  <c:v>0.36811299999999997</c:v>
                </c:pt>
                <c:pt idx="7">
                  <c:v>0.22999999999999998</c:v>
                </c:pt>
                <c:pt idx="8">
                  <c:v>0.22281999999999996</c:v>
                </c:pt>
                <c:pt idx="9">
                  <c:v>0.25344999999999995</c:v>
                </c:pt>
                <c:pt idx="10">
                  <c:v>0.18039999999999998</c:v>
                </c:pt>
                <c:pt idx="11">
                  <c:v>0.31202999999999997</c:v>
                </c:pt>
                <c:pt idx="12">
                  <c:v>0.15336999999999998</c:v>
                </c:pt>
                <c:pt idx="13">
                  <c:v>0.27906999999999998</c:v>
                </c:pt>
                <c:pt idx="14">
                  <c:v>0.24585999999999997</c:v>
                </c:pt>
                <c:pt idx="15">
                  <c:v>0.28315999999999997</c:v>
                </c:pt>
                <c:pt idx="16">
                  <c:v>0.23745999999999998</c:v>
                </c:pt>
                <c:pt idx="17">
                  <c:v>0.23531999999999997</c:v>
                </c:pt>
                <c:pt idx="18">
                  <c:v>0.23553999999999997</c:v>
                </c:pt>
                <c:pt idx="19">
                  <c:v>0.34153899999999998</c:v>
                </c:pt>
                <c:pt idx="20">
                  <c:v>0.35166900000000001</c:v>
                </c:pt>
                <c:pt idx="21">
                  <c:v>0.35166900000000001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4EC-464B-AB3A-C5AA501B1FB3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Sheet1!$X$196:$X$217</c:f>
              <c:numCache>
                <c:formatCode>General</c:formatCode>
                <c:ptCount val="22"/>
                <c:pt idx="0">
                  <c:v>0.316492</c:v>
                </c:pt>
                <c:pt idx="1">
                  <c:v>0.293568</c:v>
                </c:pt>
                <c:pt idx="2">
                  <c:v>0.45514890138545394</c:v>
                </c:pt>
                <c:pt idx="3">
                  <c:v>0.33389856406910878</c:v>
                </c:pt>
                <c:pt idx="4">
                  <c:v>0.30669599999999997</c:v>
                </c:pt>
                <c:pt idx="5">
                  <c:v>0.35173940659111719</c:v>
                </c:pt>
                <c:pt idx="6">
                  <c:v>0.28728999999999999</c:v>
                </c:pt>
                <c:pt idx="7">
                  <c:v>0.27999999999999997</c:v>
                </c:pt>
                <c:pt idx="8">
                  <c:v>0.304253</c:v>
                </c:pt>
                <c:pt idx="9">
                  <c:v>0.29506899999999997</c:v>
                </c:pt>
                <c:pt idx="10">
                  <c:v>0.12525999999999998</c:v>
                </c:pt>
                <c:pt idx="11">
                  <c:v>0.20906999999999998</c:v>
                </c:pt>
                <c:pt idx="12">
                  <c:v>1.038E-2</c:v>
                </c:pt>
                <c:pt idx="13">
                  <c:v>0.27742</c:v>
                </c:pt>
                <c:pt idx="14">
                  <c:v>0.30337700000000001</c:v>
                </c:pt>
                <c:pt idx="15">
                  <c:v>0.20906999999999998</c:v>
                </c:pt>
                <c:pt idx="16">
                  <c:v>0.2334</c:v>
                </c:pt>
                <c:pt idx="17">
                  <c:v>0.35748199999999997</c:v>
                </c:pt>
                <c:pt idx="18">
                  <c:v>0.28764000000000001</c:v>
                </c:pt>
                <c:pt idx="19">
                  <c:v>0.35910199999999998</c:v>
                </c:pt>
                <c:pt idx="20">
                  <c:v>0.32136100000000001</c:v>
                </c:pt>
                <c:pt idx="21">
                  <c:v>0.35910199999999998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EC-464B-AB3A-C5AA501B1FB3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Sheet1!$Y$196:$Y$217</c:f>
              <c:numCache>
                <c:formatCode>General</c:formatCode>
                <c:ptCount val="22"/>
                <c:pt idx="0">
                  <c:v>0.342943</c:v>
                </c:pt>
                <c:pt idx="1">
                  <c:v>0.34650599999999998</c:v>
                </c:pt>
                <c:pt idx="2">
                  <c:v>0.319867668443653</c:v>
                </c:pt>
                <c:pt idx="3">
                  <c:v>0.31212540390937238</c:v>
                </c:pt>
                <c:pt idx="4">
                  <c:v>0.38127899999999998</c:v>
                </c:pt>
                <c:pt idx="5">
                  <c:v>0.3628676827942558</c:v>
                </c:pt>
                <c:pt idx="6">
                  <c:v>0.35640299999999997</c:v>
                </c:pt>
                <c:pt idx="7">
                  <c:v>0.39999999999999997</c:v>
                </c:pt>
                <c:pt idx="8">
                  <c:v>0.25627</c:v>
                </c:pt>
                <c:pt idx="9">
                  <c:v>0.31315399999999999</c:v>
                </c:pt>
                <c:pt idx="10">
                  <c:v>0.27327999999999997</c:v>
                </c:pt>
                <c:pt idx="11">
                  <c:v>0.29221999999999998</c:v>
                </c:pt>
                <c:pt idx="12">
                  <c:v>0.27457999999999999</c:v>
                </c:pt>
                <c:pt idx="13">
                  <c:v>0.30279200000000001</c:v>
                </c:pt>
                <c:pt idx="14">
                  <c:v>0.35873699999999997</c:v>
                </c:pt>
                <c:pt idx="15">
                  <c:v>0.37883299999999998</c:v>
                </c:pt>
                <c:pt idx="16">
                  <c:v>0.28247999999999995</c:v>
                </c:pt>
                <c:pt idx="17">
                  <c:v>0.39852399999999999</c:v>
                </c:pt>
                <c:pt idx="18">
                  <c:v>0.23575999999999997</c:v>
                </c:pt>
                <c:pt idx="19">
                  <c:v>0.37404199999999999</c:v>
                </c:pt>
                <c:pt idx="20">
                  <c:v>0.26998999999999995</c:v>
                </c:pt>
                <c:pt idx="21">
                  <c:v>0.39999999999999997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EC-464B-AB3A-C5AA501B1FB3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Sheet1!$Z$196:$Z$217</c:f>
              <c:numCache>
                <c:formatCode>General</c:formatCode>
                <c:ptCount val="22"/>
                <c:pt idx="0">
                  <c:v>0.28578999999999999</c:v>
                </c:pt>
                <c:pt idx="1">
                  <c:v>0.35363899999999998</c:v>
                </c:pt>
                <c:pt idx="2">
                  <c:v>0.52226869509126195</c:v>
                </c:pt>
                <c:pt idx="3">
                  <c:v>0.361566173911964</c:v>
                </c:pt>
                <c:pt idx="4">
                  <c:v>0.32300899999999999</c:v>
                </c:pt>
                <c:pt idx="5">
                  <c:v>0.36004474814185428</c:v>
                </c:pt>
                <c:pt idx="6">
                  <c:v>0.38406999999999997</c:v>
                </c:pt>
                <c:pt idx="7">
                  <c:v>0.33999999999999997</c:v>
                </c:pt>
                <c:pt idx="8">
                  <c:v>0.395706</c:v>
                </c:pt>
                <c:pt idx="9">
                  <c:v>0.322681</c:v>
                </c:pt>
                <c:pt idx="10">
                  <c:v>0.22899999999999998</c:v>
                </c:pt>
                <c:pt idx="11">
                  <c:v>0.22309999999999997</c:v>
                </c:pt>
                <c:pt idx="12">
                  <c:v>0.22099999999999997</c:v>
                </c:pt>
                <c:pt idx="13">
                  <c:v>0.24931999999999999</c:v>
                </c:pt>
                <c:pt idx="14">
                  <c:v>0.25727999999999995</c:v>
                </c:pt>
                <c:pt idx="15">
                  <c:v>0.47009599999999996</c:v>
                </c:pt>
                <c:pt idx="16">
                  <c:v>0.32804299999999997</c:v>
                </c:pt>
                <c:pt idx="17">
                  <c:v>0.28386</c:v>
                </c:pt>
                <c:pt idx="18">
                  <c:v>0.35881199999999996</c:v>
                </c:pt>
                <c:pt idx="19">
                  <c:v>0.25711999999999996</c:v>
                </c:pt>
                <c:pt idx="20">
                  <c:v>0.30588699999999996</c:v>
                </c:pt>
                <c:pt idx="21">
                  <c:v>0.33999999999999997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4EC-464B-AB3A-C5AA501B1FB3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Sheet1!$AA$196:$AA$217</c:f>
              <c:numCache>
                <c:formatCode>General</c:formatCode>
                <c:ptCount val="22"/>
                <c:pt idx="0">
                  <c:v>0.28420000000000001</c:v>
                </c:pt>
                <c:pt idx="1">
                  <c:v>0.26132999999999995</c:v>
                </c:pt>
                <c:pt idx="2">
                  <c:v>0.412025568523821</c:v>
                </c:pt>
                <c:pt idx="3">
                  <c:v>0.47810840281237998</c:v>
                </c:pt>
                <c:pt idx="4">
                  <c:v>0.36425599999999997</c:v>
                </c:pt>
                <c:pt idx="5">
                  <c:v>0.36452467190124871</c:v>
                </c:pt>
                <c:pt idx="6">
                  <c:v>0.24683999999999998</c:v>
                </c:pt>
                <c:pt idx="7">
                  <c:v>0.32999999999999996</c:v>
                </c:pt>
                <c:pt idx="8">
                  <c:v>0.40707599999999999</c:v>
                </c:pt>
                <c:pt idx="9">
                  <c:v>0.34248699999999999</c:v>
                </c:pt>
                <c:pt idx="10">
                  <c:v>0.17264999999999997</c:v>
                </c:pt>
                <c:pt idx="11">
                  <c:v>0.20032</c:v>
                </c:pt>
                <c:pt idx="12">
                  <c:v>0.19051999999999997</c:v>
                </c:pt>
                <c:pt idx="13">
                  <c:v>0.16914999999999997</c:v>
                </c:pt>
                <c:pt idx="14">
                  <c:v>0.32128000000000001</c:v>
                </c:pt>
                <c:pt idx="15">
                  <c:v>0.41961199999999999</c:v>
                </c:pt>
                <c:pt idx="16">
                  <c:v>0.32828299999999999</c:v>
                </c:pt>
                <c:pt idx="17">
                  <c:v>0.43991999999999998</c:v>
                </c:pt>
                <c:pt idx="18">
                  <c:v>0.44304499999999997</c:v>
                </c:pt>
                <c:pt idx="19">
                  <c:v>0.26530999999999999</c:v>
                </c:pt>
                <c:pt idx="20">
                  <c:v>0.310506</c:v>
                </c:pt>
                <c:pt idx="21">
                  <c:v>0.43991999999999998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4EC-464B-AB3A-C5AA501B1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1973632"/>
        <c:axId val="1551953472"/>
      </c:barChart>
      <c:catAx>
        <c:axId val="1551973632"/>
        <c:scaling>
          <c:orientation val="minMax"/>
        </c:scaling>
        <c:delete val="1"/>
        <c:axPos val="l"/>
        <c:majorTickMark val="none"/>
        <c:minorTickMark val="none"/>
        <c:tickLblPos val="nextTo"/>
        <c:crossAx val="1551953472"/>
        <c:crosses val="autoZero"/>
        <c:auto val="1"/>
        <c:lblAlgn val="ctr"/>
        <c:lblOffset val="100"/>
        <c:noMultiLvlLbl val="0"/>
      </c:catAx>
      <c:valAx>
        <c:axId val="155195347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97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Sheet1!$B$227:$B$248</c:f>
              <c:numCache>
                <c:formatCode>#,##0.00</c:formatCode>
                <c:ptCount val="22"/>
                <c:pt idx="0">
                  <c:v>248.04218506813001</c:v>
                </c:pt>
                <c:pt idx="1">
                  <c:v>701.62085056304898</c:v>
                </c:pt>
                <c:pt idx="2">
                  <c:v>79.094640254974294</c:v>
                </c:pt>
                <c:pt idx="3">
                  <c:v>75.196268558502197</c:v>
                </c:pt>
                <c:pt idx="4">
                  <c:v>223.044886350631</c:v>
                </c:pt>
                <c:pt idx="5">
                  <c:v>73.112632751464801</c:v>
                </c:pt>
                <c:pt idx="6">
                  <c:v>23.415050000000001</c:v>
                </c:pt>
                <c:pt idx="7" formatCode="General">
                  <c:v>86.2</c:v>
                </c:pt>
                <c:pt idx="8" formatCode="General">
                  <c:v>30.532360000000001</c:v>
                </c:pt>
                <c:pt idx="9" formatCode="General">
                  <c:v>52.951500000000003</c:v>
                </c:pt>
                <c:pt idx="10" formatCode="General">
                  <c:v>372.55239999999998</c:v>
                </c:pt>
                <c:pt idx="11" formatCode="General">
                  <c:v>331.59949999999998</c:v>
                </c:pt>
                <c:pt idx="12" formatCode="General">
                  <c:v>400.76330000000002</c:v>
                </c:pt>
                <c:pt idx="13" formatCode="General">
                  <c:v>54.960760000000001</c:v>
                </c:pt>
                <c:pt idx="14" formatCode="General">
                  <c:v>276.09910000000002</c:v>
                </c:pt>
                <c:pt idx="15" formatCode="General">
                  <c:v>58.787590000000002</c:v>
                </c:pt>
                <c:pt idx="16" formatCode="General">
                  <c:v>275.79509999999999</c:v>
                </c:pt>
                <c:pt idx="17" formatCode="General">
                  <c:v>83.316079999999999</c:v>
                </c:pt>
                <c:pt idx="18" formatCode="General">
                  <c:v>180.26560000000001</c:v>
                </c:pt>
                <c:pt idx="19" formatCode="General">
                  <c:v>182.2114</c:v>
                </c:pt>
                <c:pt idx="20" formatCode="General">
                  <c:v>317.79399999999998</c:v>
                </c:pt>
                <c:pt idx="21" formatCode="0.00">
                  <c:v>669.52148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B-4AED-B4AD-2F084C3BE60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Sheet1!$C$227:$C$248</c:f>
              <c:numCache>
                <c:formatCode>#,##0.00</c:formatCode>
                <c:ptCount val="22"/>
                <c:pt idx="0">
                  <c:v>217.02237510681101</c:v>
                </c:pt>
                <c:pt idx="1">
                  <c:v>592.92975449562005</c:v>
                </c:pt>
                <c:pt idx="2">
                  <c:v>50.7459232807159</c:v>
                </c:pt>
                <c:pt idx="3">
                  <c:v>41.092186450958202</c:v>
                </c:pt>
                <c:pt idx="4">
                  <c:v>253.357859373092</c:v>
                </c:pt>
                <c:pt idx="5">
                  <c:v>65.799126386642399</c:v>
                </c:pt>
                <c:pt idx="6">
                  <c:v>20.876339999999999</c:v>
                </c:pt>
                <c:pt idx="7">
                  <c:v>0</c:v>
                </c:pt>
                <c:pt idx="8">
                  <c:v>31.483090000000001</c:v>
                </c:pt>
                <c:pt idx="9">
                  <c:v>49.990519999999997</c:v>
                </c:pt>
                <c:pt idx="10">
                  <c:v>339.66739999999999</c:v>
                </c:pt>
                <c:pt idx="11">
                  <c:v>395.00279999999998</c:v>
                </c:pt>
                <c:pt idx="12">
                  <c:v>346.33150000000001</c:v>
                </c:pt>
                <c:pt idx="13">
                  <c:v>76.15728</c:v>
                </c:pt>
                <c:pt idx="14">
                  <c:v>285.61419999999998</c:v>
                </c:pt>
                <c:pt idx="15">
                  <c:v>94.299639999999997</c:v>
                </c:pt>
                <c:pt idx="16">
                  <c:v>278.79309999999998</c:v>
                </c:pt>
                <c:pt idx="17">
                  <c:v>104.1718</c:v>
                </c:pt>
                <c:pt idx="18">
                  <c:v>198.3929</c:v>
                </c:pt>
                <c:pt idx="19">
                  <c:v>203.01230000000001</c:v>
                </c:pt>
                <c:pt idx="20">
                  <c:v>312.07060000000001</c:v>
                </c:pt>
                <c:pt idx="21" formatCode="0.00">
                  <c:v>619.25469999999996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DB-4AED-B4AD-2F084C3BE60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Sheet1!$D$227:$D$248</c:f>
              <c:numCache>
                <c:formatCode>#,##0.00</c:formatCode>
                <c:ptCount val="22"/>
                <c:pt idx="0">
                  <c:v>249.220753669738</c:v>
                </c:pt>
                <c:pt idx="1">
                  <c:v>725.45599818229596</c:v>
                </c:pt>
                <c:pt idx="2">
                  <c:v>38.308586120605398</c:v>
                </c:pt>
                <c:pt idx="3">
                  <c:v>51.244391441345201</c:v>
                </c:pt>
                <c:pt idx="4">
                  <c:v>309.464200258255</c:v>
                </c:pt>
                <c:pt idx="5">
                  <c:v>92.562977313995304</c:v>
                </c:pt>
                <c:pt idx="6">
                  <c:v>24.776900000000001</c:v>
                </c:pt>
                <c:pt idx="7">
                  <c:v>62.33</c:v>
                </c:pt>
                <c:pt idx="8">
                  <c:v>32.499679999999998</c:v>
                </c:pt>
                <c:pt idx="9">
                  <c:v>58.572189999999999</c:v>
                </c:pt>
                <c:pt idx="10">
                  <c:v>346.15699999999998</c:v>
                </c:pt>
                <c:pt idx="11">
                  <c:v>412.24599999999998</c:v>
                </c:pt>
                <c:pt idx="12">
                  <c:v>352.37450000000001</c:v>
                </c:pt>
                <c:pt idx="13">
                  <c:v>68.06344</c:v>
                </c:pt>
                <c:pt idx="14">
                  <c:v>319.88569999999999</c:v>
                </c:pt>
                <c:pt idx="15">
                  <c:v>102.7024</c:v>
                </c:pt>
                <c:pt idx="16">
                  <c:v>302.65370000000001</c:v>
                </c:pt>
                <c:pt idx="17">
                  <c:v>97.615889999999993</c:v>
                </c:pt>
                <c:pt idx="18">
                  <c:v>199.3631</c:v>
                </c:pt>
                <c:pt idx="19">
                  <c:v>229.7723</c:v>
                </c:pt>
                <c:pt idx="20">
                  <c:v>317.37209999999999</c:v>
                </c:pt>
                <c:pt idx="21" formatCode="0.00">
                  <c:v>707.09028999999998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DB-4AED-B4AD-2F084C3BE60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Sheet1!$E$227:$E$248</c:f>
              <c:numCache>
                <c:formatCode>#,##0.00</c:formatCode>
                <c:ptCount val="22"/>
                <c:pt idx="0">
                  <c:v>244.991358280181</c:v>
                </c:pt>
                <c:pt idx="1">
                  <c:v>774.11634063720703</c:v>
                </c:pt>
                <c:pt idx="2">
                  <c:v>50.226884126663201</c:v>
                </c:pt>
                <c:pt idx="3">
                  <c:v>48.443339586257899</c:v>
                </c:pt>
                <c:pt idx="4">
                  <c:v>286.11516332626297</c:v>
                </c:pt>
                <c:pt idx="5">
                  <c:v>87.641527652740393</c:v>
                </c:pt>
                <c:pt idx="6">
                  <c:v>22.592220000000001</c:v>
                </c:pt>
                <c:pt idx="7">
                  <c:v>64.510000000000005</c:v>
                </c:pt>
                <c:pt idx="8">
                  <c:v>32.458449999999999</c:v>
                </c:pt>
                <c:pt idx="9">
                  <c:v>60.388939999999998</c:v>
                </c:pt>
                <c:pt idx="10">
                  <c:v>336.89260000000002</c:v>
                </c:pt>
                <c:pt idx="11">
                  <c:v>393.61720000000003</c:v>
                </c:pt>
                <c:pt idx="12">
                  <c:v>344.48099999999999</c:v>
                </c:pt>
                <c:pt idx="13">
                  <c:v>61.75226</c:v>
                </c:pt>
                <c:pt idx="14">
                  <c:v>297.8614</c:v>
                </c:pt>
                <c:pt idx="15">
                  <c:v>108.1075</c:v>
                </c:pt>
                <c:pt idx="16">
                  <c:v>306.14319999999998</c:v>
                </c:pt>
                <c:pt idx="17">
                  <c:v>114.3008</c:v>
                </c:pt>
                <c:pt idx="18">
                  <c:v>185.77099999999999</c:v>
                </c:pt>
                <c:pt idx="19">
                  <c:v>199.57509999999999</c:v>
                </c:pt>
                <c:pt idx="20">
                  <c:v>354.73340000000002</c:v>
                </c:pt>
                <c:pt idx="21" formatCode="0.00">
                  <c:v>733.11930000000007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DB-4AED-B4AD-2F084C3BE60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Sheet1!$F$227:$F$248</c:f>
              <c:numCache>
                <c:formatCode>#,##0.00</c:formatCode>
                <c:ptCount val="22"/>
                <c:pt idx="0">
                  <c:v>182.68318152427599</c:v>
                </c:pt>
                <c:pt idx="1">
                  <c:v>547.64082026481606</c:v>
                </c:pt>
                <c:pt idx="2">
                  <c:v>28.949137926101599</c:v>
                </c:pt>
                <c:pt idx="3">
                  <c:v>49.581439495086599</c:v>
                </c:pt>
                <c:pt idx="4">
                  <c:v>173.19447183609</c:v>
                </c:pt>
                <c:pt idx="5">
                  <c:v>64.638130664825397</c:v>
                </c:pt>
                <c:pt idx="6">
                  <c:v>27.63467</c:v>
                </c:pt>
                <c:pt idx="7">
                  <c:v>60.61</c:v>
                </c:pt>
                <c:pt idx="8">
                  <c:v>29.211649999999999</c:v>
                </c:pt>
                <c:pt idx="9">
                  <c:v>47.53125</c:v>
                </c:pt>
                <c:pt idx="10">
                  <c:v>271.32549999999998</c:v>
                </c:pt>
                <c:pt idx="11">
                  <c:v>317.04559999999998</c:v>
                </c:pt>
                <c:pt idx="12">
                  <c:v>272.84309999999999</c:v>
                </c:pt>
                <c:pt idx="13">
                  <c:v>47.000619999999998</c:v>
                </c:pt>
                <c:pt idx="14">
                  <c:v>295.29390000000001</c:v>
                </c:pt>
                <c:pt idx="15">
                  <c:v>63.54918</c:v>
                </c:pt>
                <c:pt idx="16">
                  <c:v>227.15209999999999</c:v>
                </c:pt>
                <c:pt idx="17">
                  <c:v>86.743290000000002</c:v>
                </c:pt>
                <c:pt idx="18">
                  <c:v>175.88409999999999</c:v>
                </c:pt>
                <c:pt idx="19">
                  <c:v>172.7063</c:v>
                </c:pt>
                <c:pt idx="20">
                  <c:v>310.59539999999998</c:v>
                </c:pt>
                <c:pt idx="21" formatCode="0.00">
                  <c:v>630.65499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DB-4AED-B4AD-2F084C3BE60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Sheet1!$G$227:$G$248</c:f>
              <c:numCache>
                <c:formatCode>#,##0.00</c:formatCode>
                <c:ptCount val="22"/>
                <c:pt idx="0">
                  <c:v>169.03535413742</c:v>
                </c:pt>
                <c:pt idx="1">
                  <c:v>515.74179100990295</c:v>
                </c:pt>
                <c:pt idx="2">
                  <c:v>26.9458005428314</c:v>
                </c:pt>
                <c:pt idx="3">
                  <c:v>58.0237555503845</c:v>
                </c:pt>
                <c:pt idx="4">
                  <c:v>175.634501934051</c:v>
                </c:pt>
                <c:pt idx="5">
                  <c:v>64.952477216720496</c:v>
                </c:pt>
                <c:pt idx="6">
                  <c:v>31.289249999999999</c:v>
                </c:pt>
                <c:pt idx="7">
                  <c:v>49.28</c:v>
                </c:pt>
                <c:pt idx="8">
                  <c:v>28.00055</c:v>
                </c:pt>
                <c:pt idx="9">
                  <c:v>45.891269999999999</c:v>
                </c:pt>
                <c:pt idx="10">
                  <c:v>256.7396</c:v>
                </c:pt>
                <c:pt idx="11">
                  <c:v>309.96690000000001</c:v>
                </c:pt>
                <c:pt idx="12">
                  <c:v>250.0718</c:v>
                </c:pt>
                <c:pt idx="13">
                  <c:v>46.033230000000003</c:v>
                </c:pt>
                <c:pt idx="14">
                  <c:v>289.67540000000002</c:v>
                </c:pt>
                <c:pt idx="15">
                  <c:v>58.697400000000002</c:v>
                </c:pt>
                <c:pt idx="16">
                  <c:v>220.4889</c:v>
                </c:pt>
                <c:pt idx="17">
                  <c:v>77.217960000000005</c:v>
                </c:pt>
                <c:pt idx="18">
                  <c:v>200.11199999999999</c:v>
                </c:pt>
                <c:pt idx="19">
                  <c:v>156.27959999999999</c:v>
                </c:pt>
                <c:pt idx="20">
                  <c:v>279.29390000000001</c:v>
                </c:pt>
                <c:pt idx="21" formatCode="0.00">
                  <c:v>562.07146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DB-4AED-B4AD-2F084C3BE60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Sheet1!$H$227:$H$248</c:f>
              <c:numCache>
                <c:formatCode>#,##0.00</c:formatCode>
                <c:ptCount val="22"/>
                <c:pt idx="0">
                  <c:v>199.561366081237</c:v>
                </c:pt>
                <c:pt idx="1">
                  <c:v>550.65251851081803</c:v>
                </c:pt>
                <c:pt idx="2">
                  <c:v>34.155169725417998</c:v>
                </c:pt>
                <c:pt idx="3">
                  <c:v>114.897999048233</c:v>
                </c:pt>
                <c:pt idx="4">
                  <c:v>219.854627132415</c:v>
                </c:pt>
                <c:pt idx="5">
                  <c:v>54.502254009246798</c:v>
                </c:pt>
                <c:pt idx="6">
                  <c:v>18.176079999999999</c:v>
                </c:pt>
                <c:pt idx="7">
                  <c:v>54.15</c:v>
                </c:pt>
                <c:pt idx="8">
                  <c:v>33.49335</c:v>
                </c:pt>
                <c:pt idx="9">
                  <c:v>52.309669999999997</c:v>
                </c:pt>
                <c:pt idx="10">
                  <c:v>326.87459999999999</c:v>
                </c:pt>
                <c:pt idx="11">
                  <c:v>317.19639999999998</c:v>
                </c:pt>
                <c:pt idx="12">
                  <c:v>291.49419999999998</c:v>
                </c:pt>
                <c:pt idx="13">
                  <c:v>54.214419999999997</c:v>
                </c:pt>
                <c:pt idx="14">
                  <c:v>363.65069999999997</c:v>
                </c:pt>
                <c:pt idx="15">
                  <c:v>61.209569999999999</c:v>
                </c:pt>
                <c:pt idx="16">
                  <c:v>274.18740000000003</c:v>
                </c:pt>
                <c:pt idx="17">
                  <c:v>82.252830000000003</c:v>
                </c:pt>
                <c:pt idx="18">
                  <c:v>186.12049999999999</c:v>
                </c:pt>
                <c:pt idx="19">
                  <c:v>184.85810000000001</c:v>
                </c:pt>
                <c:pt idx="20">
                  <c:v>296.0736</c:v>
                </c:pt>
                <c:pt idx="21" formatCode="0.00">
                  <c:v>617.33453000000009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DB-4AED-B4AD-2F084C3BE60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Sheet1!$I$227:$I$248</c:f>
              <c:numCache>
                <c:formatCode>#,##0.00</c:formatCode>
                <c:ptCount val="22"/>
                <c:pt idx="0">
                  <c:v>173.31683611869801</c:v>
                </c:pt>
                <c:pt idx="1">
                  <c:v>528.56935882568303</c:v>
                </c:pt>
                <c:pt idx="2">
                  <c:v>30.812891244888299</c:v>
                </c:pt>
                <c:pt idx="3">
                  <c:v>44.137853384017902</c:v>
                </c:pt>
                <c:pt idx="4">
                  <c:v>200.98553228378199</c:v>
                </c:pt>
                <c:pt idx="5">
                  <c:v>49.452005147933903</c:v>
                </c:pt>
                <c:pt idx="6">
                  <c:v>21.86365</c:v>
                </c:pt>
                <c:pt idx="7">
                  <c:v>56.16</c:v>
                </c:pt>
                <c:pt idx="8">
                  <c:v>30.776060000000001</c:v>
                </c:pt>
                <c:pt idx="9">
                  <c:v>46.548279999999998</c:v>
                </c:pt>
                <c:pt idx="10">
                  <c:v>322.38330000000002</c:v>
                </c:pt>
                <c:pt idx="11">
                  <c:v>315.76049999999998</c:v>
                </c:pt>
                <c:pt idx="12">
                  <c:v>286.79309999999998</c:v>
                </c:pt>
                <c:pt idx="13">
                  <c:v>53.032350000000001</c:v>
                </c:pt>
                <c:pt idx="14">
                  <c:v>275.89030000000002</c:v>
                </c:pt>
                <c:pt idx="15">
                  <c:v>63.097670000000001</c:v>
                </c:pt>
                <c:pt idx="16">
                  <c:v>251.4735</c:v>
                </c:pt>
                <c:pt idx="17">
                  <c:v>95.566159999999996</c:v>
                </c:pt>
                <c:pt idx="18">
                  <c:v>185.08080000000001</c:v>
                </c:pt>
                <c:pt idx="19">
                  <c:v>171.4162</c:v>
                </c:pt>
                <c:pt idx="20">
                  <c:v>290.70310000000001</c:v>
                </c:pt>
                <c:pt idx="21" formatCode="0.00">
                  <c:v>613.84546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DB-4AED-B4AD-2F084C3BE60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Sheet1!$J$227:$J$248</c:f>
              <c:numCache>
                <c:formatCode>#,##0.00</c:formatCode>
                <c:ptCount val="22"/>
                <c:pt idx="0">
                  <c:v>179.13008451461701</c:v>
                </c:pt>
                <c:pt idx="1">
                  <c:v>519.91400957107498</c:v>
                </c:pt>
                <c:pt idx="2">
                  <c:v>21.764157056808401</c:v>
                </c:pt>
                <c:pt idx="3">
                  <c:v>37.843484878540004</c:v>
                </c:pt>
                <c:pt idx="4">
                  <c:v>213.469737052917</c:v>
                </c:pt>
                <c:pt idx="5">
                  <c:v>53.5012817382812</c:v>
                </c:pt>
                <c:pt idx="6">
                  <c:v>19.144380000000002</c:v>
                </c:pt>
                <c:pt idx="7" formatCode="General">
                  <c:v>45.09</c:v>
                </c:pt>
                <c:pt idx="8" formatCode="General">
                  <c:v>28.50902</c:v>
                </c:pt>
                <c:pt idx="9" formatCode="General">
                  <c:v>46.43526</c:v>
                </c:pt>
                <c:pt idx="10" formatCode="General">
                  <c:v>277.06900000000002</c:v>
                </c:pt>
                <c:pt idx="11" formatCode="General">
                  <c:v>321.22559999999999</c:v>
                </c:pt>
                <c:pt idx="12" formatCode="General">
                  <c:v>259.44189999999998</c:v>
                </c:pt>
                <c:pt idx="13" formatCode="General">
                  <c:v>47.50806</c:v>
                </c:pt>
                <c:pt idx="14" formatCode="General">
                  <c:v>211.8075</c:v>
                </c:pt>
                <c:pt idx="15" formatCode="General">
                  <c:v>57.191920000000003</c:v>
                </c:pt>
                <c:pt idx="16" formatCode="General">
                  <c:v>224.20150000000001</c:v>
                </c:pt>
                <c:pt idx="17" formatCode="General">
                  <c:v>78.833349999999996</c:v>
                </c:pt>
                <c:pt idx="18" formatCode="General">
                  <c:v>176.20779999999999</c:v>
                </c:pt>
                <c:pt idx="19" formatCode="General">
                  <c:v>169.53450000000001</c:v>
                </c:pt>
                <c:pt idx="20" formatCode="General">
                  <c:v>283.35239999999999</c:v>
                </c:pt>
                <c:pt idx="21" formatCode="0.00">
                  <c:v>576.81025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DB-4AED-B4AD-2F084C3BE60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Sheet1!$K$227:$K$248</c:f>
              <c:numCache>
                <c:formatCode>#,##0.00</c:formatCode>
                <c:ptCount val="22"/>
                <c:pt idx="0">
                  <c:v>176.73827004432599</c:v>
                </c:pt>
                <c:pt idx="1">
                  <c:v>528.26585626602105</c:v>
                </c:pt>
                <c:pt idx="2">
                  <c:v>39.709741592407198</c:v>
                </c:pt>
                <c:pt idx="3">
                  <c:v>39.374790668487499</c:v>
                </c:pt>
                <c:pt idx="4">
                  <c:v>177.303038597106</c:v>
                </c:pt>
                <c:pt idx="5">
                  <c:v>65.863883495330796</c:v>
                </c:pt>
                <c:pt idx="6">
                  <c:v>26.164860000000001</c:v>
                </c:pt>
                <c:pt idx="7" formatCode="General">
                  <c:v>47.34</c:v>
                </c:pt>
                <c:pt idx="8" formatCode="General">
                  <c:v>28.985769999999999</c:v>
                </c:pt>
                <c:pt idx="9" formatCode="General">
                  <c:v>42.837380000000003</c:v>
                </c:pt>
                <c:pt idx="10" formatCode="General">
                  <c:v>289.99829999999997</c:v>
                </c:pt>
                <c:pt idx="11" formatCode="General">
                  <c:v>318.65210000000002</c:v>
                </c:pt>
                <c:pt idx="12" formatCode="General">
                  <c:v>270.99650000000003</c:v>
                </c:pt>
                <c:pt idx="13" formatCode="General">
                  <c:v>50.737369999999999</c:v>
                </c:pt>
                <c:pt idx="14" formatCode="General">
                  <c:v>218.3938</c:v>
                </c:pt>
                <c:pt idx="15" formatCode="General">
                  <c:v>57.339799999999997</c:v>
                </c:pt>
                <c:pt idx="16" formatCode="General">
                  <c:v>219.87469999999999</c:v>
                </c:pt>
                <c:pt idx="17" formatCode="General">
                  <c:v>84.034030000000001</c:v>
                </c:pt>
                <c:pt idx="18" formatCode="General">
                  <c:v>173.1755</c:v>
                </c:pt>
                <c:pt idx="19" formatCode="General">
                  <c:v>174.56319999999999</c:v>
                </c:pt>
                <c:pt idx="20" formatCode="General">
                  <c:v>284.41820000000001</c:v>
                </c:pt>
                <c:pt idx="21" formatCode="0.00">
                  <c:v>590.35543000000007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DB-4AED-B4AD-2F084C3BE60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Sheet1!$L$227:$L$248</c:f>
              <c:numCache>
                <c:formatCode>#,##0.00</c:formatCode>
                <c:ptCount val="22"/>
                <c:pt idx="0">
                  <c:v>179.93805861473001</c:v>
                </c:pt>
                <c:pt idx="1">
                  <c:v>514.96614837646405</c:v>
                </c:pt>
                <c:pt idx="2">
                  <c:v>41.904331445693899</c:v>
                </c:pt>
                <c:pt idx="3">
                  <c:v>38.099832296371403</c:v>
                </c:pt>
                <c:pt idx="4">
                  <c:v>177.557912826538</c:v>
                </c:pt>
                <c:pt idx="5">
                  <c:v>64.109711885452199</c:v>
                </c:pt>
                <c:pt idx="6">
                  <c:v>21.49408</c:v>
                </c:pt>
                <c:pt idx="7" formatCode="General">
                  <c:v>50.45</c:v>
                </c:pt>
                <c:pt idx="8" formatCode="General">
                  <c:v>27.499770000000002</c:v>
                </c:pt>
                <c:pt idx="9" formatCode="General">
                  <c:v>41.495649999999998</c:v>
                </c:pt>
                <c:pt idx="10" formatCode="General">
                  <c:v>273.48419999999999</c:v>
                </c:pt>
                <c:pt idx="11" formatCode="General">
                  <c:v>312.39120000000003</c:v>
                </c:pt>
                <c:pt idx="12" formatCode="General">
                  <c:v>251.5915</c:v>
                </c:pt>
                <c:pt idx="13" formatCode="General">
                  <c:v>48.755220000000001</c:v>
                </c:pt>
                <c:pt idx="14" formatCode="General">
                  <c:v>209.99289999999999</c:v>
                </c:pt>
                <c:pt idx="15" formatCode="General">
                  <c:v>49.155299999999997</c:v>
                </c:pt>
                <c:pt idx="16" formatCode="General">
                  <c:v>225.26150000000001</c:v>
                </c:pt>
                <c:pt idx="17" formatCode="General">
                  <c:v>73.921660000000003</c:v>
                </c:pt>
                <c:pt idx="18" formatCode="General">
                  <c:v>173.8442</c:v>
                </c:pt>
                <c:pt idx="19" formatCode="General">
                  <c:v>155.57939999999999</c:v>
                </c:pt>
                <c:pt idx="20" formatCode="General">
                  <c:v>287.32499999999999</c:v>
                </c:pt>
                <c:pt idx="21" formatCode="0.00">
                  <c:v>567.27605999999992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DB-4AED-B4AD-2F084C3BE60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Sheet1!$M$227:$M$248</c:f>
              <c:numCache>
                <c:formatCode>#,##0.00</c:formatCode>
                <c:ptCount val="22"/>
                <c:pt idx="0">
                  <c:v>172.54372525215101</c:v>
                </c:pt>
                <c:pt idx="1">
                  <c:v>454.35775065422001</c:v>
                </c:pt>
                <c:pt idx="2">
                  <c:v>36.572896242141702</c:v>
                </c:pt>
                <c:pt idx="3">
                  <c:v>38.228928089141803</c:v>
                </c:pt>
                <c:pt idx="4">
                  <c:v>145.52196621894799</c:v>
                </c:pt>
                <c:pt idx="5">
                  <c:v>58.001094341277998</c:v>
                </c:pt>
                <c:pt idx="6">
                  <c:v>15.822620000000001</c:v>
                </c:pt>
                <c:pt idx="7" formatCode="General">
                  <c:v>50.85</c:v>
                </c:pt>
                <c:pt idx="8" formatCode="General">
                  <c:v>25.72926</c:v>
                </c:pt>
                <c:pt idx="9" formatCode="General">
                  <c:v>42.447539999999996</c:v>
                </c:pt>
                <c:pt idx="10" formatCode="General">
                  <c:v>260.48939999999999</c:v>
                </c:pt>
                <c:pt idx="11" formatCode="General">
                  <c:v>303.79320000000001</c:v>
                </c:pt>
                <c:pt idx="12" formatCode="General">
                  <c:v>240.54339999999999</c:v>
                </c:pt>
                <c:pt idx="13" formatCode="General">
                  <c:v>46.95411</c:v>
                </c:pt>
                <c:pt idx="14" formatCode="General">
                  <c:v>204.88929999999999</c:v>
                </c:pt>
                <c:pt idx="15" formatCode="General">
                  <c:v>46.88073</c:v>
                </c:pt>
                <c:pt idx="16" formatCode="General">
                  <c:v>229.24160000000001</c:v>
                </c:pt>
                <c:pt idx="17" formatCode="General">
                  <c:v>72.256010000000003</c:v>
                </c:pt>
                <c:pt idx="18" formatCode="General">
                  <c:v>164.6241</c:v>
                </c:pt>
                <c:pt idx="19" formatCode="General">
                  <c:v>172.31309999999999</c:v>
                </c:pt>
                <c:pt idx="20" formatCode="General">
                  <c:v>276.19589999999999</c:v>
                </c:pt>
                <c:pt idx="21" formatCode="0.00">
                  <c:v>571.61500999999998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0DB-4AED-B4AD-2F084C3B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6000112"/>
        <c:axId val="1376001072"/>
      </c:barChart>
      <c:catAx>
        <c:axId val="137600011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76001072"/>
        <c:crosses val="autoZero"/>
        <c:auto val="1"/>
        <c:lblAlgn val="ctr"/>
        <c:lblOffset val="100"/>
        <c:noMultiLvlLbl val="0"/>
      </c:catAx>
      <c:valAx>
        <c:axId val="137600107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0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Sheet1!$B$258:$B$279</c:f>
              <c:numCache>
                <c:formatCode>#,##0.00</c:formatCode>
                <c:ptCount val="22"/>
                <c:pt idx="0">
                  <c:v>753.24439144134499</c:v>
                </c:pt>
                <c:pt idx="1">
                  <c:v>5835.2830200195303</c:v>
                </c:pt>
                <c:pt idx="2">
                  <c:v>334.04881095886202</c:v>
                </c:pt>
                <c:pt idx="3">
                  <c:v>337.34301662445</c:v>
                </c:pt>
                <c:pt idx="4">
                  <c:v>1453.11780166625</c:v>
                </c:pt>
                <c:pt idx="5">
                  <c:v>2599.2273397445601</c:v>
                </c:pt>
                <c:pt idx="6">
                  <c:v>2104.636</c:v>
                </c:pt>
                <c:pt idx="7">
                  <c:v>3568.09</c:v>
                </c:pt>
                <c:pt idx="8" formatCode="General">
                  <c:v>1410.7629999999999</c:v>
                </c:pt>
                <c:pt idx="9" formatCode="General">
                  <c:v>5453.3490000000002</c:v>
                </c:pt>
                <c:pt idx="10" formatCode="General">
                  <c:v>2752.134</c:v>
                </c:pt>
                <c:pt idx="11" formatCode="General">
                  <c:v>4235.2510000000002</c:v>
                </c:pt>
                <c:pt idx="12" formatCode="General">
                  <c:v>2816.819</c:v>
                </c:pt>
                <c:pt idx="13" formatCode="General">
                  <c:v>6105.277</c:v>
                </c:pt>
                <c:pt idx="14" formatCode="General">
                  <c:v>5976.308</c:v>
                </c:pt>
                <c:pt idx="15" formatCode="General">
                  <c:v>11634.79</c:v>
                </c:pt>
                <c:pt idx="16" formatCode="General">
                  <c:v>11086.69</c:v>
                </c:pt>
                <c:pt idx="17" formatCode="General">
                  <c:v>7685.7460000000001</c:v>
                </c:pt>
                <c:pt idx="18" formatCode="General">
                  <c:v>11569.27</c:v>
                </c:pt>
                <c:pt idx="19" formatCode="General">
                  <c:v>4510.5860000000002</c:v>
                </c:pt>
                <c:pt idx="20" formatCode="General">
                  <c:v>4510.3180000000002</c:v>
                </c:pt>
                <c:pt idx="21" formatCode="0.00">
                  <c:v>7685.7460000000001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C-4507-9F5B-5783E0BAF3E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Sheet1!$C$258:$C$279</c:f>
              <c:numCache>
                <c:formatCode>#,##0.00</c:formatCode>
                <c:ptCount val="22"/>
                <c:pt idx="0">
                  <c:v>825.55967235565095</c:v>
                </c:pt>
                <c:pt idx="1">
                  <c:v>6041.9066467285102</c:v>
                </c:pt>
                <c:pt idx="2">
                  <c:v>328.37675380706702</c:v>
                </c:pt>
                <c:pt idx="3">
                  <c:v>379.19263362884499</c:v>
                </c:pt>
                <c:pt idx="4">
                  <c:v>1409.1581249236999</c:v>
                </c:pt>
                <c:pt idx="5">
                  <c:v>2694.6330127716001</c:v>
                </c:pt>
                <c:pt idx="6">
                  <c:v>2165.7260000000001</c:v>
                </c:pt>
                <c:pt idx="7">
                  <c:v>0</c:v>
                </c:pt>
                <c:pt idx="8">
                  <c:v>1475.5119999999999</c:v>
                </c:pt>
                <c:pt idx="9">
                  <c:v>5653.317</c:v>
                </c:pt>
                <c:pt idx="10">
                  <c:v>2832.0970000000002</c:v>
                </c:pt>
                <c:pt idx="11">
                  <c:v>4370.6729999999998</c:v>
                </c:pt>
                <c:pt idx="12">
                  <c:v>2899.2</c:v>
                </c:pt>
                <c:pt idx="13">
                  <c:v>6310.616</c:v>
                </c:pt>
                <c:pt idx="14">
                  <c:v>6176.8630000000003</c:v>
                </c:pt>
                <c:pt idx="15">
                  <c:v>12057.42</c:v>
                </c:pt>
                <c:pt idx="16">
                  <c:v>11488.84</c:v>
                </c:pt>
                <c:pt idx="17">
                  <c:v>7960.74</c:v>
                </c:pt>
                <c:pt idx="18">
                  <c:v>11989.6</c:v>
                </c:pt>
                <c:pt idx="19">
                  <c:v>4685.8140000000003</c:v>
                </c:pt>
                <c:pt idx="20">
                  <c:v>4685.5950000000003</c:v>
                </c:pt>
                <c:pt idx="21" formatCode="0.00">
                  <c:v>7960.74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C-4507-9F5B-5783E0BAF3E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Sheet1!$D$258:$D$279</c:f>
              <c:numCache>
                <c:formatCode>#,##0.00</c:formatCode>
                <c:ptCount val="22"/>
                <c:pt idx="0">
                  <c:v>927.86729431152298</c:v>
                </c:pt>
                <c:pt idx="1">
                  <c:v>6603.8562078475898</c:v>
                </c:pt>
                <c:pt idx="2">
                  <c:v>385.76993751525799</c:v>
                </c:pt>
                <c:pt idx="3">
                  <c:v>379.06494903564402</c:v>
                </c:pt>
                <c:pt idx="4">
                  <c:v>1558.8162155151299</c:v>
                </c:pt>
                <c:pt idx="5">
                  <c:v>2945.8765230178801</c:v>
                </c:pt>
                <c:pt idx="6">
                  <c:v>2376.3029999999999</c:v>
                </c:pt>
                <c:pt idx="7">
                  <c:v>6675.46</c:v>
                </c:pt>
                <c:pt idx="8">
                  <c:v>1764.452</c:v>
                </c:pt>
                <c:pt idx="9">
                  <c:v>6283.6409999999996</c:v>
                </c:pt>
                <c:pt idx="10">
                  <c:v>3098.2289999999998</c:v>
                </c:pt>
                <c:pt idx="11">
                  <c:v>4778.9380000000001</c:v>
                </c:pt>
                <c:pt idx="12">
                  <c:v>3171.5279999999998</c:v>
                </c:pt>
                <c:pt idx="13">
                  <c:v>6952.6909999999998</c:v>
                </c:pt>
                <c:pt idx="14">
                  <c:v>6752.02</c:v>
                </c:pt>
                <c:pt idx="15">
                  <c:v>13259.97</c:v>
                </c:pt>
                <c:pt idx="16">
                  <c:v>12584.34</c:v>
                </c:pt>
                <c:pt idx="17">
                  <c:v>8784.83</c:v>
                </c:pt>
                <c:pt idx="18">
                  <c:v>13131.43</c:v>
                </c:pt>
                <c:pt idx="19">
                  <c:v>5201.5829999999996</c:v>
                </c:pt>
                <c:pt idx="20">
                  <c:v>5201.2460000000001</c:v>
                </c:pt>
                <c:pt idx="21" formatCode="0.00">
                  <c:v>8784.83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C-4507-9F5B-5783E0BAF3E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Sheet1!$E$258:$E$279</c:f>
              <c:numCache>
                <c:formatCode>#,##0.00</c:formatCode>
                <c:ptCount val="22"/>
                <c:pt idx="0">
                  <c:v>888.84022426605202</c:v>
                </c:pt>
                <c:pt idx="1">
                  <c:v>6389.20909786224</c:v>
                </c:pt>
                <c:pt idx="2">
                  <c:v>420.04254055023102</c:v>
                </c:pt>
                <c:pt idx="3">
                  <c:v>379.06407451629599</c:v>
                </c:pt>
                <c:pt idx="4">
                  <c:v>1503.7530860900799</c:v>
                </c:pt>
                <c:pt idx="5">
                  <c:v>2835.6444435119602</c:v>
                </c:pt>
                <c:pt idx="6">
                  <c:v>2297.2959999999998</c:v>
                </c:pt>
                <c:pt idx="7">
                  <c:v>3939.13</c:v>
                </c:pt>
                <c:pt idx="8">
                  <c:v>1671.3309999999999</c:v>
                </c:pt>
                <c:pt idx="9">
                  <c:v>6060.7569999999996</c:v>
                </c:pt>
                <c:pt idx="10">
                  <c:v>2997.0279999999998</c:v>
                </c:pt>
                <c:pt idx="11">
                  <c:v>4623.3280000000004</c:v>
                </c:pt>
                <c:pt idx="12">
                  <c:v>3067.9450000000002</c:v>
                </c:pt>
                <c:pt idx="13">
                  <c:v>6724.473</c:v>
                </c:pt>
                <c:pt idx="14">
                  <c:v>6532.5709999999999</c:v>
                </c:pt>
                <c:pt idx="15">
                  <c:v>12766.09</c:v>
                </c:pt>
                <c:pt idx="16">
                  <c:v>12165.14</c:v>
                </c:pt>
                <c:pt idx="17">
                  <c:v>8435.7929999999997</c:v>
                </c:pt>
                <c:pt idx="18">
                  <c:v>12693.91</c:v>
                </c:pt>
                <c:pt idx="19">
                  <c:v>5005.2219999999998</c:v>
                </c:pt>
                <c:pt idx="20">
                  <c:v>5004.7219999999998</c:v>
                </c:pt>
                <c:pt idx="21" formatCode="0.00">
                  <c:v>8435.7929999999997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7C-4507-9F5B-5783E0BAF3EA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Sheet1!$F$258:$F$279</c:f>
              <c:numCache>
                <c:formatCode>#,##0.00</c:formatCode>
                <c:ptCount val="22"/>
                <c:pt idx="0">
                  <c:v>768.42948150634697</c:v>
                </c:pt>
                <c:pt idx="1">
                  <c:v>5077.7266311645499</c:v>
                </c:pt>
                <c:pt idx="2">
                  <c:v>283.26099014282198</c:v>
                </c:pt>
                <c:pt idx="3">
                  <c:v>379.06366062164301</c:v>
                </c:pt>
                <c:pt idx="4">
                  <c:v>1311.9280271530099</c:v>
                </c:pt>
                <c:pt idx="5">
                  <c:v>2209.02734565734</c:v>
                </c:pt>
                <c:pt idx="6">
                  <c:v>1800.934</c:v>
                </c:pt>
                <c:pt idx="7">
                  <c:v>3091.82</c:v>
                </c:pt>
                <c:pt idx="8">
                  <c:v>1218.258</c:v>
                </c:pt>
                <c:pt idx="9">
                  <c:v>4767.9769999999999</c:v>
                </c:pt>
                <c:pt idx="10">
                  <c:v>2440.9870000000001</c:v>
                </c:pt>
                <c:pt idx="11">
                  <c:v>3725.8209999999999</c:v>
                </c:pt>
                <c:pt idx="12">
                  <c:v>2497.0210000000002</c:v>
                </c:pt>
                <c:pt idx="13">
                  <c:v>5345.835</c:v>
                </c:pt>
                <c:pt idx="14">
                  <c:v>5234.1790000000001</c:v>
                </c:pt>
                <c:pt idx="15">
                  <c:v>10104.530000000001</c:v>
                </c:pt>
                <c:pt idx="16">
                  <c:v>9629.7649999999994</c:v>
                </c:pt>
                <c:pt idx="17">
                  <c:v>6683.4520000000002</c:v>
                </c:pt>
                <c:pt idx="18">
                  <c:v>10047.98</c:v>
                </c:pt>
                <c:pt idx="19">
                  <c:v>3861.6010000000001</c:v>
                </c:pt>
                <c:pt idx="20">
                  <c:v>3861.3249999999998</c:v>
                </c:pt>
                <c:pt idx="21" formatCode="0.00">
                  <c:v>6683.4520000000002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7C-4507-9F5B-5783E0BAF3EA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Sheet1!$G$258:$G$279</c:f>
              <c:numCache>
                <c:formatCode>#,##0.00</c:formatCode>
                <c:ptCount val="22"/>
                <c:pt idx="0">
                  <c:v>727.20119094848599</c:v>
                </c:pt>
                <c:pt idx="1">
                  <c:v>4853.6168947219803</c:v>
                </c:pt>
                <c:pt idx="2">
                  <c:v>263.59090137481599</c:v>
                </c:pt>
                <c:pt idx="3">
                  <c:v>379.063401222229</c:v>
                </c:pt>
                <c:pt idx="4">
                  <c:v>1256.1297903060899</c:v>
                </c:pt>
                <c:pt idx="5">
                  <c:v>2145.4387502670202</c:v>
                </c:pt>
                <c:pt idx="6">
                  <c:v>1769.646</c:v>
                </c:pt>
                <c:pt idx="7">
                  <c:v>2936.41</c:v>
                </c:pt>
                <c:pt idx="8">
                  <c:v>1133.1310000000001</c:v>
                </c:pt>
                <c:pt idx="9">
                  <c:v>4537.9290000000001</c:v>
                </c:pt>
                <c:pt idx="10">
                  <c:v>2340.2689999999998</c:v>
                </c:pt>
                <c:pt idx="11">
                  <c:v>3567.9079999999999</c:v>
                </c:pt>
                <c:pt idx="12">
                  <c:v>2393.808</c:v>
                </c:pt>
                <c:pt idx="13">
                  <c:v>5115.79</c:v>
                </c:pt>
                <c:pt idx="14">
                  <c:v>5009.1099999999997</c:v>
                </c:pt>
                <c:pt idx="15">
                  <c:v>9653.9089999999997</c:v>
                </c:pt>
                <c:pt idx="16">
                  <c:v>9200.2999999999993</c:v>
                </c:pt>
                <c:pt idx="17">
                  <c:v>6385.1540000000005</c:v>
                </c:pt>
                <c:pt idx="18">
                  <c:v>9600.25</c:v>
                </c:pt>
                <c:pt idx="19">
                  <c:v>3662.0309999999999</c:v>
                </c:pt>
                <c:pt idx="20">
                  <c:v>3661.8780000000002</c:v>
                </c:pt>
                <c:pt idx="21" formatCode="0.00">
                  <c:v>6385.1540000000005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7C-4507-9F5B-5783E0BAF3EA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Sheet1!$H$258:$H$279</c:f>
              <c:numCache>
                <c:formatCode>#,##0.00</c:formatCode>
                <c:ptCount val="22"/>
                <c:pt idx="0">
                  <c:v>860.62768363952603</c:v>
                </c:pt>
                <c:pt idx="1">
                  <c:v>5700.0639638900702</c:v>
                </c:pt>
                <c:pt idx="2">
                  <c:v>321.39094066619799</c:v>
                </c:pt>
                <c:pt idx="3">
                  <c:v>379.062933921813</c:v>
                </c:pt>
                <c:pt idx="4">
                  <c:v>1500.46508789062</c:v>
                </c:pt>
                <c:pt idx="5">
                  <c:v>2510.5302362441998</c:v>
                </c:pt>
                <c:pt idx="6">
                  <c:v>2077.087</c:v>
                </c:pt>
                <c:pt idx="7">
                  <c:v>3504.03</c:v>
                </c:pt>
                <c:pt idx="8">
                  <c:v>1443.164</c:v>
                </c:pt>
                <c:pt idx="9">
                  <c:v>5385.7569999999996</c:v>
                </c:pt>
                <c:pt idx="10">
                  <c:v>2709.915</c:v>
                </c:pt>
                <c:pt idx="11">
                  <c:v>4152.3280000000004</c:v>
                </c:pt>
                <c:pt idx="12">
                  <c:v>2772.8240000000001</c:v>
                </c:pt>
                <c:pt idx="13">
                  <c:v>5971.0349999999999</c:v>
                </c:pt>
                <c:pt idx="14">
                  <c:v>5845.6750000000002</c:v>
                </c:pt>
                <c:pt idx="15">
                  <c:v>11341.49</c:v>
                </c:pt>
                <c:pt idx="16">
                  <c:v>10808.5</c:v>
                </c:pt>
                <c:pt idx="17">
                  <c:v>7500.8379999999997</c:v>
                </c:pt>
                <c:pt idx="18">
                  <c:v>11277.72</c:v>
                </c:pt>
                <c:pt idx="19">
                  <c:v>4397.2709999999997</c:v>
                </c:pt>
                <c:pt idx="20">
                  <c:v>4396.884</c:v>
                </c:pt>
                <c:pt idx="21" formatCode="0.00">
                  <c:v>7500.8379999999997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7C-4507-9F5B-5783E0BAF3EA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Sheet1!$I$258:$I$279</c:f>
              <c:numCache>
                <c:formatCode>#,##0.00</c:formatCode>
                <c:ptCount val="22"/>
                <c:pt idx="0">
                  <c:v>827.49532890319801</c:v>
                </c:pt>
                <c:pt idx="1">
                  <c:v>5557.5525150299</c:v>
                </c:pt>
                <c:pt idx="2">
                  <c:v>307.81188964843699</c:v>
                </c:pt>
                <c:pt idx="3">
                  <c:v>379.06271171569801</c:v>
                </c:pt>
                <c:pt idx="4">
                  <c:v>1397.3910598754801</c:v>
                </c:pt>
                <c:pt idx="5">
                  <c:v>2440.5143213271999</c:v>
                </c:pt>
                <c:pt idx="6">
                  <c:v>1867.826</c:v>
                </c:pt>
                <c:pt idx="7">
                  <c:v>3407.88</c:v>
                </c:pt>
                <c:pt idx="8">
                  <c:v>1385.8679999999999</c:v>
                </c:pt>
                <c:pt idx="9">
                  <c:v>5246.1030000000001</c:v>
                </c:pt>
                <c:pt idx="10">
                  <c:v>2646.8029999999999</c:v>
                </c:pt>
                <c:pt idx="11">
                  <c:v>4055.8719999999998</c:v>
                </c:pt>
                <c:pt idx="12">
                  <c:v>2708.248</c:v>
                </c:pt>
                <c:pt idx="13">
                  <c:v>5888.5810000000001</c:v>
                </c:pt>
                <c:pt idx="14">
                  <c:v>5710.0820000000003</c:v>
                </c:pt>
                <c:pt idx="15">
                  <c:v>11073.05</c:v>
                </c:pt>
                <c:pt idx="16">
                  <c:v>10552.38</c:v>
                </c:pt>
                <c:pt idx="17">
                  <c:v>7321.1779999999999</c:v>
                </c:pt>
                <c:pt idx="18">
                  <c:v>11011.42</c:v>
                </c:pt>
                <c:pt idx="19">
                  <c:v>4274.66</c:v>
                </c:pt>
                <c:pt idx="20">
                  <c:v>4274.4859999999999</c:v>
                </c:pt>
                <c:pt idx="21" formatCode="0.00">
                  <c:v>7321.1779999999999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7C-4507-9F5B-5783E0BAF3EA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Sheet1!$J$258:$J$279</c:f>
              <c:numCache>
                <c:formatCode>#,##0.00</c:formatCode>
                <c:ptCount val="22"/>
                <c:pt idx="0">
                  <c:v>805.62419605255104</c:v>
                </c:pt>
                <c:pt idx="1">
                  <c:v>5059.1863546371396</c:v>
                </c:pt>
                <c:pt idx="2">
                  <c:v>390.168406486511</c:v>
                </c:pt>
                <c:pt idx="3">
                  <c:v>379.06294631958002</c:v>
                </c:pt>
                <c:pt idx="4">
                  <c:v>1294.31810760498</c:v>
                </c:pt>
                <c:pt idx="5">
                  <c:v>2282.5474548339798</c:v>
                </c:pt>
                <c:pt idx="6">
                  <c:v>2024.748</c:v>
                </c:pt>
                <c:pt idx="7">
                  <c:v>3105.77</c:v>
                </c:pt>
                <c:pt idx="8">
                  <c:v>1241.6289999999999</c:v>
                </c:pt>
                <c:pt idx="9">
                  <c:v>4771.8580000000002</c:v>
                </c:pt>
                <c:pt idx="10">
                  <c:v>2450.7570000000001</c:v>
                </c:pt>
                <c:pt idx="11">
                  <c:v>3727.87</c:v>
                </c:pt>
                <c:pt idx="12">
                  <c:v>2506.4450000000002</c:v>
                </c:pt>
                <c:pt idx="13">
                  <c:v>5401.4359999999997</c:v>
                </c:pt>
                <c:pt idx="14">
                  <c:v>5227.08</c:v>
                </c:pt>
                <c:pt idx="15">
                  <c:v>10066.91</c:v>
                </c:pt>
                <c:pt idx="16">
                  <c:v>9595.0159999999996</c:v>
                </c:pt>
                <c:pt idx="17">
                  <c:v>6666.4070000000002</c:v>
                </c:pt>
                <c:pt idx="18">
                  <c:v>10011.01</c:v>
                </c:pt>
                <c:pt idx="19">
                  <c:v>3852.4870000000001</c:v>
                </c:pt>
                <c:pt idx="20">
                  <c:v>3852.3009999999999</c:v>
                </c:pt>
                <c:pt idx="21" formatCode="0.00">
                  <c:v>6666.4070000000002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7C-4507-9F5B-5783E0BAF3EA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Sheet1!$K$258:$K$279</c:f>
              <c:numCache>
                <c:formatCode>#,##0.00</c:formatCode>
                <c:ptCount val="22"/>
                <c:pt idx="0">
                  <c:v>867.07952117919899</c:v>
                </c:pt>
                <c:pt idx="1">
                  <c:v>5119.1905498504602</c:v>
                </c:pt>
                <c:pt idx="2">
                  <c:v>454.92144393920898</c:v>
                </c:pt>
                <c:pt idx="3">
                  <c:v>379.062819480896</c:v>
                </c:pt>
                <c:pt idx="4">
                  <c:v>1430.0451326370201</c:v>
                </c:pt>
                <c:pt idx="5">
                  <c:v>2346.9111213684</c:v>
                </c:pt>
                <c:pt idx="6">
                  <c:v>1911.5239999999999</c:v>
                </c:pt>
                <c:pt idx="7">
                  <c:v>3177.92</c:v>
                </c:pt>
                <c:pt idx="8">
                  <c:v>1299.2329999999999</c:v>
                </c:pt>
                <c:pt idx="9">
                  <c:v>4859.5640000000003</c:v>
                </c:pt>
                <c:pt idx="10">
                  <c:v>2498.183</c:v>
                </c:pt>
                <c:pt idx="11">
                  <c:v>3787.2379999999998</c:v>
                </c:pt>
                <c:pt idx="12">
                  <c:v>2554.3989999999999</c:v>
                </c:pt>
                <c:pt idx="13">
                  <c:v>5490.2960000000003</c:v>
                </c:pt>
                <c:pt idx="14">
                  <c:v>5300.5439999999999</c:v>
                </c:pt>
                <c:pt idx="15">
                  <c:v>10187.61</c:v>
                </c:pt>
                <c:pt idx="16">
                  <c:v>9711.2180000000008</c:v>
                </c:pt>
                <c:pt idx="17">
                  <c:v>6755.3360000000002</c:v>
                </c:pt>
                <c:pt idx="18">
                  <c:v>10131.06</c:v>
                </c:pt>
                <c:pt idx="19">
                  <c:v>3921.0279999999998</c:v>
                </c:pt>
                <c:pt idx="20">
                  <c:v>3920.8290000000002</c:v>
                </c:pt>
                <c:pt idx="21" formatCode="0.00">
                  <c:v>6755.3360000000002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7C-4507-9F5B-5783E0BAF3EA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Sheet1!$L$258:$L$279</c:f>
              <c:numCache>
                <c:formatCode>#,##0.00</c:formatCode>
                <c:ptCount val="22"/>
                <c:pt idx="0">
                  <c:v>760.38121700286797</c:v>
                </c:pt>
                <c:pt idx="1">
                  <c:v>4984.3906145095798</c:v>
                </c:pt>
                <c:pt idx="2">
                  <c:v>280.63203811645502</c:v>
                </c:pt>
                <c:pt idx="3">
                  <c:v>379.06259536743102</c:v>
                </c:pt>
                <c:pt idx="4">
                  <c:v>1297.17359733581</c:v>
                </c:pt>
                <c:pt idx="5">
                  <c:v>2164.4616041183399</c:v>
                </c:pt>
                <c:pt idx="6">
                  <c:v>1768.577</c:v>
                </c:pt>
                <c:pt idx="7">
                  <c:v>3030.72</c:v>
                </c:pt>
                <c:pt idx="8">
                  <c:v>1186.7639999999999</c:v>
                </c:pt>
                <c:pt idx="9">
                  <c:v>4675.2849999999999</c:v>
                </c:pt>
                <c:pt idx="10">
                  <c:v>2401.4259999999999</c:v>
                </c:pt>
                <c:pt idx="11">
                  <c:v>3662.0540000000001</c:v>
                </c:pt>
                <c:pt idx="12">
                  <c:v>2456.4110000000001</c:v>
                </c:pt>
                <c:pt idx="13">
                  <c:v>5251.52</c:v>
                </c:pt>
                <c:pt idx="14">
                  <c:v>5141.99</c:v>
                </c:pt>
                <c:pt idx="15">
                  <c:v>9916.7510000000002</c:v>
                </c:pt>
                <c:pt idx="16">
                  <c:v>9450.9549999999999</c:v>
                </c:pt>
                <c:pt idx="17">
                  <c:v>6560.1559999999999</c:v>
                </c:pt>
                <c:pt idx="18">
                  <c:v>9861.4259999999995</c:v>
                </c:pt>
                <c:pt idx="19">
                  <c:v>3782.9670000000001</c:v>
                </c:pt>
                <c:pt idx="20">
                  <c:v>3782.7060000000001</c:v>
                </c:pt>
                <c:pt idx="21" formatCode="0.00">
                  <c:v>6560.1559999999999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7C-4507-9F5B-5783E0BAF3EA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Sheet1!$M$258:$M$279</c:f>
              <c:numCache>
                <c:formatCode>#,##0.00</c:formatCode>
                <c:ptCount val="22"/>
                <c:pt idx="0">
                  <c:v>748.31784915924004</c:v>
                </c:pt>
                <c:pt idx="1">
                  <c:v>4809.1261968612598</c:v>
                </c:pt>
                <c:pt idx="2">
                  <c:v>286.15721416473298</c:v>
                </c:pt>
                <c:pt idx="3">
                  <c:v>379.06248474121003</c:v>
                </c:pt>
                <c:pt idx="4">
                  <c:v>1277.36168479919</c:v>
                </c:pt>
                <c:pt idx="5">
                  <c:v>2085.86855602264</c:v>
                </c:pt>
                <c:pt idx="6">
                  <c:v>1765.0809999999999</c:v>
                </c:pt>
                <c:pt idx="7">
                  <c:v>2923.52</c:v>
                </c:pt>
                <c:pt idx="8">
                  <c:v>1136.7929999999999</c:v>
                </c:pt>
                <c:pt idx="9">
                  <c:v>4507.643</c:v>
                </c:pt>
                <c:pt idx="10">
                  <c:v>2332.404</c:v>
                </c:pt>
                <c:pt idx="11">
                  <c:v>3546.701</c:v>
                </c:pt>
                <c:pt idx="12">
                  <c:v>2385.3629999999998</c:v>
                </c:pt>
                <c:pt idx="13">
                  <c:v>5077.7650000000003</c:v>
                </c:pt>
                <c:pt idx="14">
                  <c:v>4972.2560000000003</c:v>
                </c:pt>
                <c:pt idx="15">
                  <c:v>9564.5949999999993</c:v>
                </c:pt>
                <c:pt idx="16">
                  <c:v>9115.8979999999992</c:v>
                </c:pt>
                <c:pt idx="17">
                  <c:v>6331.357</c:v>
                </c:pt>
                <c:pt idx="18">
                  <c:v>9511.8690000000006</c:v>
                </c:pt>
                <c:pt idx="19">
                  <c:v>3627.203</c:v>
                </c:pt>
                <c:pt idx="20">
                  <c:v>3627.1370000000002</c:v>
                </c:pt>
                <c:pt idx="21" formatCode="0.00">
                  <c:v>6331.357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D7C-4507-9F5B-5783E0BA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3170176"/>
        <c:axId val="663185056"/>
      </c:barChart>
      <c:catAx>
        <c:axId val="663170176"/>
        <c:scaling>
          <c:orientation val="minMax"/>
        </c:scaling>
        <c:delete val="1"/>
        <c:axPos val="l"/>
        <c:majorTickMark val="none"/>
        <c:minorTickMark val="none"/>
        <c:tickLblPos val="nextTo"/>
        <c:crossAx val="663185056"/>
        <c:crosses val="autoZero"/>
        <c:auto val="1"/>
        <c:lblAlgn val="ctr"/>
        <c:lblOffset val="100"/>
        <c:noMultiLvlLbl val="0"/>
      </c:catAx>
      <c:valAx>
        <c:axId val="66318505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7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Sheet1!$P$290:$P$311</c:f>
              <c:numCache>
                <c:formatCode>#,##0.00</c:formatCode>
                <c:ptCount val="22"/>
                <c:pt idx="0">
                  <c:v>0.44903453369850299</c:v>
                </c:pt>
                <c:pt idx="1">
                  <c:v>0.66097558855134397</c:v>
                </c:pt>
                <c:pt idx="2">
                  <c:v>0.58624909408549997</c:v>
                </c:pt>
                <c:pt idx="3">
                  <c:v>0.50685950687491499</c:v>
                </c:pt>
                <c:pt idx="4">
                  <c:v>0.55415199999999998</c:v>
                </c:pt>
                <c:pt idx="5">
                  <c:v>0.43565687203494102</c:v>
                </c:pt>
                <c:pt idx="6">
                  <c:v>0.431699</c:v>
                </c:pt>
                <c:pt idx="7">
                  <c:v>0.4</c:v>
                </c:pt>
                <c:pt idx="8">
                  <c:v>0.49576600000000004</c:v>
                </c:pt>
                <c:pt idx="9">
                  <c:v>0.43565700000000002</c:v>
                </c:pt>
                <c:pt idx="10">
                  <c:v>0.11184000000000001</c:v>
                </c:pt>
                <c:pt idx="11">
                  <c:v>0.42856499999999997</c:v>
                </c:pt>
                <c:pt idx="12">
                  <c:v>0.40198100000000003</c:v>
                </c:pt>
                <c:pt idx="13">
                  <c:v>0.431537</c:v>
                </c:pt>
                <c:pt idx="14">
                  <c:v>0.44371300000000002</c:v>
                </c:pt>
                <c:pt idx="15">
                  <c:v>0.43367800000000001</c:v>
                </c:pt>
                <c:pt idx="16">
                  <c:v>0.43968499999999999</c:v>
                </c:pt>
                <c:pt idx="17">
                  <c:v>0.43565700000000002</c:v>
                </c:pt>
                <c:pt idx="18">
                  <c:v>0.44371300000000002</c:v>
                </c:pt>
                <c:pt idx="19">
                  <c:v>0.43367800000000001</c:v>
                </c:pt>
                <c:pt idx="20">
                  <c:v>0.46974000000000005</c:v>
                </c:pt>
                <c:pt idx="21">
                  <c:v>0.46974000000000005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E-4A9D-A337-FE4B905512A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Sheet1!$Q$290:$Q$311</c:f>
              <c:numCache>
                <c:formatCode>#,##0.00</c:formatCode>
                <c:ptCount val="22"/>
                <c:pt idx="0">
                  <c:v>0.48466336172178304</c:v>
                </c:pt>
                <c:pt idx="1">
                  <c:v>0.71518080095659298</c:v>
                </c:pt>
                <c:pt idx="2">
                  <c:v>0.60900193259159996</c:v>
                </c:pt>
                <c:pt idx="3">
                  <c:v>0.54251698783685898</c:v>
                </c:pt>
                <c:pt idx="4">
                  <c:v>0.56630199999999997</c:v>
                </c:pt>
                <c:pt idx="5">
                  <c:v>0.41591451525983003</c:v>
                </c:pt>
                <c:pt idx="6">
                  <c:v>0.41591500000000003</c:v>
                </c:pt>
                <c:pt idx="7">
                  <c:v>0.23</c:v>
                </c:pt>
                <c:pt idx="8">
                  <c:v>0.407862</c:v>
                </c:pt>
                <c:pt idx="9">
                  <c:v>0.407862</c:v>
                </c:pt>
                <c:pt idx="10">
                  <c:v>0.26382300000000003</c:v>
                </c:pt>
                <c:pt idx="11">
                  <c:v>0.38598699999999997</c:v>
                </c:pt>
                <c:pt idx="12">
                  <c:v>0.41017800000000004</c:v>
                </c:pt>
                <c:pt idx="13">
                  <c:v>0.39980500000000002</c:v>
                </c:pt>
                <c:pt idx="14">
                  <c:v>0.38387300000000002</c:v>
                </c:pt>
                <c:pt idx="15">
                  <c:v>0.38387300000000002</c:v>
                </c:pt>
                <c:pt idx="16">
                  <c:v>0.39980899999999997</c:v>
                </c:pt>
                <c:pt idx="17">
                  <c:v>0.37548500000000001</c:v>
                </c:pt>
                <c:pt idx="18">
                  <c:v>0.41942200000000002</c:v>
                </c:pt>
                <c:pt idx="19">
                  <c:v>0.39674300000000001</c:v>
                </c:pt>
                <c:pt idx="20">
                  <c:v>0.39674300000000001</c:v>
                </c:pt>
                <c:pt idx="21">
                  <c:v>0.39674300000000001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E-4A9D-A337-FE4B905512A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Sheet1!$R$290:$R$311</c:f>
              <c:numCache>
                <c:formatCode>#,##0.00</c:formatCode>
                <c:ptCount val="22"/>
                <c:pt idx="0">
                  <c:v>0.55580733944165706</c:v>
                </c:pt>
                <c:pt idx="1">
                  <c:v>0.62687532097677001</c:v>
                </c:pt>
                <c:pt idx="2">
                  <c:v>0.59006020886910004</c:v>
                </c:pt>
                <c:pt idx="3">
                  <c:v>0.53631119747340705</c:v>
                </c:pt>
                <c:pt idx="4">
                  <c:v>0.49786700000000006</c:v>
                </c:pt>
                <c:pt idx="5">
                  <c:v>0.39768707089758104</c:v>
                </c:pt>
                <c:pt idx="6">
                  <c:v>0.40110400000000002</c:v>
                </c:pt>
                <c:pt idx="7">
                  <c:v>0.43000000000000005</c:v>
                </c:pt>
                <c:pt idx="8">
                  <c:v>0.434087</c:v>
                </c:pt>
                <c:pt idx="9">
                  <c:v>0.39768700000000001</c:v>
                </c:pt>
                <c:pt idx="10">
                  <c:v>-2.0999999999999908E-3</c:v>
                </c:pt>
                <c:pt idx="11">
                  <c:v>0.389845</c:v>
                </c:pt>
                <c:pt idx="12">
                  <c:v>0.40110400000000002</c:v>
                </c:pt>
                <c:pt idx="13">
                  <c:v>0.39321600000000001</c:v>
                </c:pt>
                <c:pt idx="14">
                  <c:v>0.39427000000000001</c:v>
                </c:pt>
                <c:pt idx="15">
                  <c:v>0.41119099999999997</c:v>
                </c:pt>
                <c:pt idx="16">
                  <c:v>0.38958800000000005</c:v>
                </c:pt>
                <c:pt idx="17">
                  <c:v>0.40110400000000002</c:v>
                </c:pt>
                <c:pt idx="18">
                  <c:v>0.42943399999999998</c:v>
                </c:pt>
                <c:pt idx="19">
                  <c:v>0.40110400000000002</c:v>
                </c:pt>
                <c:pt idx="20">
                  <c:v>0.38951599999999997</c:v>
                </c:pt>
                <c:pt idx="21">
                  <c:v>0.38951599999999997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1E-4A9D-A337-FE4B905512A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Sheet1!$S$290:$S$311</c:f>
              <c:numCache>
                <c:formatCode>#,##0.00</c:formatCode>
                <c:ptCount val="22"/>
                <c:pt idx="0">
                  <c:v>0.45054183043766904</c:v>
                </c:pt>
                <c:pt idx="1">
                  <c:v>0.61697889150978802</c:v>
                </c:pt>
                <c:pt idx="2">
                  <c:v>0.52701574088470005</c:v>
                </c:pt>
                <c:pt idx="3">
                  <c:v>0.48826943800700706</c:v>
                </c:pt>
                <c:pt idx="4">
                  <c:v>0.51575099999999996</c:v>
                </c:pt>
                <c:pt idx="5">
                  <c:v>0.389528962462037</c:v>
                </c:pt>
                <c:pt idx="6">
                  <c:v>0.41859400000000002</c:v>
                </c:pt>
                <c:pt idx="7">
                  <c:v>0.43000000000000005</c:v>
                </c:pt>
                <c:pt idx="8">
                  <c:v>0.41450799999999999</c:v>
                </c:pt>
                <c:pt idx="9">
                  <c:v>0.38952900000000001</c:v>
                </c:pt>
                <c:pt idx="10">
                  <c:v>0.25305100000000003</c:v>
                </c:pt>
                <c:pt idx="11">
                  <c:v>0.38614599999999999</c:v>
                </c:pt>
                <c:pt idx="12">
                  <c:v>0.38811099999999998</c:v>
                </c:pt>
                <c:pt idx="13">
                  <c:v>0.38882</c:v>
                </c:pt>
                <c:pt idx="14">
                  <c:v>0.40121499999999999</c:v>
                </c:pt>
                <c:pt idx="15">
                  <c:v>0.417074</c:v>
                </c:pt>
                <c:pt idx="16">
                  <c:v>0.42176900000000001</c:v>
                </c:pt>
                <c:pt idx="17">
                  <c:v>0.38952900000000001</c:v>
                </c:pt>
                <c:pt idx="18">
                  <c:v>0.38952900000000001</c:v>
                </c:pt>
                <c:pt idx="19">
                  <c:v>0.41450799999999999</c:v>
                </c:pt>
                <c:pt idx="20">
                  <c:v>0.403588</c:v>
                </c:pt>
                <c:pt idx="21">
                  <c:v>0.38952900000000001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1E-4A9D-A337-FE4B905512A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Sheet1!$T$290:$T$311</c:f>
              <c:numCache>
                <c:formatCode>#,##0.00</c:formatCode>
                <c:ptCount val="22"/>
                <c:pt idx="0">
                  <c:v>0.52188082441839201</c:v>
                </c:pt>
                <c:pt idx="1">
                  <c:v>0.58322494189699003</c:v>
                </c:pt>
                <c:pt idx="2">
                  <c:v>0.49195259355529997</c:v>
                </c:pt>
                <c:pt idx="3">
                  <c:v>0.519149520441618</c:v>
                </c:pt>
                <c:pt idx="4">
                  <c:v>0.42120400000000002</c:v>
                </c:pt>
                <c:pt idx="5">
                  <c:v>0.392087841463576</c:v>
                </c:pt>
                <c:pt idx="6">
                  <c:v>0.39208799999999999</c:v>
                </c:pt>
                <c:pt idx="7">
                  <c:v>0.41000000000000003</c:v>
                </c:pt>
                <c:pt idx="8">
                  <c:v>0.46782699999999999</c:v>
                </c:pt>
                <c:pt idx="9">
                  <c:v>0.38351100000000005</c:v>
                </c:pt>
                <c:pt idx="10">
                  <c:v>0.27957700000000002</c:v>
                </c:pt>
                <c:pt idx="11">
                  <c:v>0.365207</c:v>
                </c:pt>
                <c:pt idx="12">
                  <c:v>0.379888</c:v>
                </c:pt>
                <c:pt idx="13">
                  <c:v>0.38228099999999998</c:v>
                </c:pt>
                <c:pt idx="14">
                  <c:v>0.36647300000000005</c:v>
                </c:pt>
                <c:pt idx="15">
                  <c:v>0.28693000000000002</c:v>
                </c:pt>
                <c:pt idx="16">
                  <c:v>0.50967700000000005</c:v>
                </c:pt>
                <c:pt idx="17">
                  <c:v>0.46526699999999999</c:v>
                </c:pt>
                <c:pt idx="18">
                  <c:v>0.40066500000000005</c:v>
                </c:pt>
                <c:pt idx="19">
                  <c:v>0.42687600000000003</c:v>
                </c:pt>
                <c:pt idx="20">
                  <c:v>0.43091299999999999</c:v>
                </c:pt>
                <c:pt idx="21">
                  <c:v>0.43091299999999999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1E-4A9D-A337-FE4B905512A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Sheet1!$U$290:$U$311</c:f>
              <c:numCache>
                <c:formatCode>#,##0.00</c:formatCode>
                <c:ptCount val="22"/>
                <c:pt idx="0">
                  <c:v>0.47784949737131799</c:v>
                </c:pt>
                <c:pt idx="1">
                  <c:v>0.53024781606637506</c:v>
                </c:pt>
                <c:pt idx="2">
                  <c:v>0.49679994083410006</c:v>
                </c:pt>
                <c:pt idx="3">
                  <c:v>0.46575612114340603</c:v>
                </c:pt>
                <c:pt idx="4">
                  <c:v>0.46426299999999998</c:v>
                </c:pt>
                <c:pt idx="5">
                  <c:v>0.40173142846932297</c:v>
                </c:pt>
                <c:pt idx="6">
                  <c:v>0.409196</c:v>
                </c:pt>
                <c:pt idx="7">
                  <c:v>0.41000000000000003</c:v>
                </c:pt>
                <c:pt idx="8">
                  <c:v>0.41258499999999998</c:v>
                </c:pt>
                <c:pt idx="9">
                  <c:v>0.41258499999999998</c:v>
                </c:pt>
                <c:pt idx="10">
                  <c:v>0.21152000000000001</c:v>
                </c:pt>
                <c:pt idx="11">
                  <c:v>0.36910700000000002</c:v>
                </c:pt>
                <c:pt idx="12">
                  <c:v>0.413522</c:v>
                </c:pt>
                <c:pt idx="13">
                  <c:v>0.40043600000000001</c:v>
                </c:pt>
                <c:pt idx="14">
                  <c:v>0.405806</c:v>
                </c:pt>
                <c:pt idx="15">
                  <c:v>0.44240000000000002</c:v>
                </c:pt>
                <c:pt idx="16">
                  <c:v>0.409196</c:v>
                </c:pt>
                <c:pt idx="17">
                  <c:v>0.405806</c:v>
                </c:pt>
                <c:pt idx="18">
                  <c:v>0.413522</c:v>
                </c:pt>
                <c:pt idx="19">
                  <c:v>0.405806</c:v>
                </c:pt>
                <c:pt idx="20">
                  <c:v>0.44874199999999997</c:v>
                </c:pt>
                <c:pt idx="21">
                  <c:v>0.405806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1E-4A9D-A337-FE4B905512A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Sheet1!$V$290:$V$311</c:f>
              <c:numCache>
                <c:formatCode>#,##0.00</c:formatCode>
                <c:ptCount val="22"/>
                <c:pt idx="0">
                  <c:v>0.57967530343297602</c:v>
                </c:pt>
                <c:pt idx="1">
                  <c:v>0.65822107332347302</c:v>
                </c:pt>
                <c:pt idx="2">
                  <c:v>0.58427147961939996</c:v>
                </c:pt>
                <c:pt idx="3">
                  <c:v>0.57957380721343699</c:v>
                </c:pt>
                <c:pt idx="4">
                  <c:v>0.51457700000000006</c:v>
                </c:pt>
                <c:pt idx="5">
                  <c:v>0.42665398477014504</c:v>
                </c:pt>
                <c:pt idx="6">
                  <c:v>0.41839800000000005</c:v>
                </c:pt>
                <c:pt idx="7">
                  <c:v>0.44</c:v>
                </c:pt>
                <c:pt idx="8">
                  <c:v>0.48167899999999997</c:v>
                </c:pt>
                <c:pt idx="9">
                  <c:v>0.45029200000000003</c:v>
                </c:pt>
                <c:pt idx="10">
                  <c:v>0.26080500000000001</c:v>
                </c:pt>
                <c:pt idx="11">
                  <c:v>0.44025900000000001</c:v>
                </c:pt>
                <c:pt idx="12">
                  <c:v>0.48710799999999999</c:v>
                </c:pt>
                <c:pt idx="13">
                  <c:v>0.43234899999999998</c:v>
                </c:pt>
                <c:pt idx="14">
                  <c:v>0.44671899999999998</c:v>
                </c:pt>
                <c:pt idx="15">
                  <c:v>0.44671899999999998</c:v>
                </c:pt>
                <c:pt idx="16">
                  <c:v>0.41696100000000003</c:v>
                </c:pt>
                <c:pt idx="17">
                  <c:v>0.45029200000000003</c:v>
                </c:pt>
                <c:pt idx="18">
                  <c:v>0.45386500000000002</c:v>
                </c:pt>
                <c:pt idx="19">
                  <c:v>0.41696100000000003</c:v>
                </c:pt>
                <c:pt idx="20">
                  <c:v>0.42952400000000002</c:v>
                </c:pt>
                <c:pt idx="21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1E-4A9D-A337-FE4B905512A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Sheet1!$W$290:$W$311</c:f>
              <c:numCache>
                <c:formatCode>#,##0.00</c:formatCode>
                <c:ptCount val="22"/>
                <c:pt idx="0">
                  <c:v>0.50758807070290501</c:v>
                </c:pt>
                <c:pt idx="1">
                  <c:v>0.62110326174883401</c:v>
                </c:pt>
                <c:pt idx="2">
                  <c:v>0.53735057569190003</c:v>
                </c:pt>
                <c:pt idx="3">
                  <c:v>0.48448611022271804</c:v>
                </c:pt>
                <c:pt idx="4">
                  <c:v>0.50301499999999999</c:v>
                </c:pt>
                <c:pt idx="5">
                  <c:v>0.40057308801186897</c:v>
                </c:pt>
                <c:pt idx="6">
                  <c:v>0.51746000000000003</c:v>
                </c:pt>
                <c:pt idx="7">
                  <c:v>0.43000000000000005</c:v>
                </c:pt>
                <c:pt idx="8">
                  <c:v>0.41952800000000001</c:v>
                </c:pt>
                <c:pt idx="9">
                  <c:v>0.42677399999999999</c:v>
                </c:pt>
                <c:pt idx="10">
                  <c:v>0.12040000000000001</c:v>
                </c:pt>
                <c:pt idx="11">
                  <c:v>0.41228100000000001</c:v>
                </c:pt>
                <c:pt idx="12">
                  <c:v>0.45489999999999997</c:v>
                </c:pt>
                <c:pt idx="13">
                  <c:v>0.418489</c:v>
                </c:pt>
                <c:pt idx="14">
                  <c:v>0.41952800000000001</c:v>
                </c:pt>
                <c:pt idx="15">
                  <c:v>0.42469600000000002</c:v>
                </c:pt>
                <c:pt idx="16">
                  <c:v>0.41952800000000001</c:v>
                </c:pt>
                <c:pt idx="17">
                  <c:v>0.414883</c:v>
                </c:pt>
                <c:pt idx="18">
                  <c:v>0.42469600000000002</c:v>
                </c:pt>
                <c:pt idx="19">
                  <c:v>0.42573499999999997</c:v>
                </c:pt>
                <c:pt idx="20">
                  <c:v>0.42677399999999999</c:v>
                </c:pt>
                <c:pt idx="21">
                  <c:v>0.42677399999999999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A1E-4A9D-A337-FE4B905512A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Sheet1!$X$290:$X$311</c:f>
              <c:numCache>
                <c:formatCode>#,##0.00</c:formatCode>
                <c:ptCount val="22"/>
                <c:pt idx="0">
                  <c:v>0.62437652658110199</c:v>
                </c:pt>
                <c:pt idx="1">
                  <c:v>0.67449820567956398</c:v>
                </c:pt>
                <c:pt idx="2">
                  <c:v>0.69809837314580003</c:v>
                </c:pt>
                <c:pt idx="3">
                  <c:v>0.60893839878217204</c:v>
                </c:pt>
                <c:pt idx="4">
                  <c:v>0.62437699999999996</c:v>
                </c:pt>
                <c:pt idx="5">
                  <c:v>0.49008897277683705</c:v>
                </c:pt>
                <c:pt idx="6">
                  <c:v>0.414883</c:v>
                </c:pt>
                <c:pt idx="7">
                  <c:v>0.56000000000000005</c:v>
                </c:pt>
                <c:pt idx="8">
                  <c:v>0.510911</c:v>
                </c:pt>
                <c:pt idx="9">
                  <c:v>0.51746000000000003</c:v>
                </c:pt>
                <c:pt idx="10">
                  <c:v>6.5260000000000012E-2</c:v>
                </c:pt>
                <c:pt idx="11">
                  <c:v>0.58512500000000001</c:v>
                </c:pt>
                <c:pt idx="12">
                  <c:v>0.50437600000000005</c:v>
                </c:pt>
                <c:pt idx="13">
                  <c:v>0.54147000000000001</c:v>
                </c:pt>
                <c:pt idx="14">
                  <c:v>0.51746000000000003</c:v>
                </c:pt>
                <c:pt idx="15">
                  <c:v>0.58512500000000001</c:v>
                </c:pt>
                <c:pt idx="16">
                  <c:v>0.58529799999999998</c:v>
                </c:pt>
                <c:pt idx="17">
                  <c:v>0.51746000000000003</c:v>
                </c:pt>
                <c:pt idx="18">
                  <c:v>0.51746000000000003</c:v>
                </c:pt>
                <c:pt idx="19">
                  <c:v>0.51746000000000003</c:v>
                </c:pt>
                <c:pt idx="20">
                  <c:v>0.51746000000000003</c:v>
                </c:pt>
                <c:pt idx="21">
                  <c:v>0.51746000000000003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1E-4A9D-A337-FE4B905512A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Sheet1!$Y$290:$Y$311</c:f>
              <c:numCache>
                <c:formatCode>#,##0.00</c:formatCode>
                <c:ptCount val="22"/>
                <c:pt idx="0">
                  <c:v>0.64086704416643103</c:v>
                </c:pt>
                <c:pt idx="1">
                  <c:v>0.837256820526046</c:v>
                </c:pt>
                <c:pt idx="2">
                  <c:v>0.72557060150590003</c:v>
                </c:pt>
                <c:pt idx="3">
                  <c:v>0.67267499804420905</c:v>
                </c:pt>
                <c:pt idx="4">
                  <c:v>0.66051599999999999</c:v>
                </c:pt>
                <c:pt idx="5">
                  <c:v>0.57901514365820206</c:v>
                </c:pt>
                <c:pt idx="6">
                  <c:v>0.56312200000000001</c:v>
                </c:pt>
                <c:pt idx="7">
                  <c:v>0.51</c:v>
                </c:pt>
                <c:pt idx="8">
                  <c:v>0.56312200000000001</c:v>
                </c:pt>
                <c:pt idx="9">
                  <c:v>0.47329900000000003</c:v>
                </c:pt>
                <c:pt idx="10">
                  <c:v>0.21328000000000003</c:v>
                </c:pt>
                <c:pt idx="11">
                  <c:v>0.50004599999999999</c:v>
                </c:pt>
                <c:pt idx="12">
                  <c:v>0.54725400000000002</c:v>
                </c:pt>
                <c:pt idx="13">
                  <c:v>0.53864599999999996</c:v>
                </c:pt>
                <c:pt idx="14">
                  <c:v>0.54735</c:v>
                </c:pt>
                <c:pt idx="15">
                  <c:v>0.499027</c:v>
                </c:pt>
                <c:pt idx="16">
                  <c:v>0.50004599999999999</c:v>
                </c:pt>
                <c:pt idx="17">
                  <c:v>0.48016300000000001</c:v>
                </c:pt>
                <c:pt idx="18">
                  <c:v>0.46643500000000004</c:v>
                </c:pt>
                <c:pt idx="19">
                  <c:v>0.52327100000000004</c:v>
                </c:pt>
                <c:pt idx="20">
                  <c:v>0.56312200000000001</c:v>
                </c:pt>
                <c:pt idx="21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A1E-4A9D-A337-FE4B905512A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Sheet1!$Z$290:$Z$311</c:f>
              <c:numCache>
                <c:formatCode>#,##0.00</c:formatCode>
                <c:ptCount val="22"/>
                <c:pt idx="0">
                  <c:v>0.63439688841791597</c:v>
                </c:pt>
                <c:pt idx="1">
                  <c:v>0.71496987539263301</c:v>
                </c:pt>
                <c:pt idx="2">
                  <c:v>0.68562503897850002</c:v>
                </c:pt>
                <c:pt idx="3">
                  <c:v>0.58412660287757301</c:v>
                </c:pt>
                <c:pt idx="4">
                  <c:v>0.63439699999999999</c:v>
                </c:pt>
                <c:pt idx="5">
                  <c:v>0.54217352967326204</c:v>
                </c:pt>
                <c:pt idx="6">
                  <c:v>0.57332300000000003</c:v>
                </c:pt>
                <c:pt idx="7">
                  <c:v>0.57000000000000006</c:v>
                </c:pt>
                <c:pt idx="8">
                  <c:v>0.57816999999999996</c:v>
                </c:pt>
                <c:pt idx="9">
                  <c:v>0.49961200000000006</c:v>
                </c:pt>
                <c:pt idx="10">
                  <c:v>0.16900000000000001</c:v>
                </c:pt>
                <c:pt idx="11">
                  <c:v>0.452573</c:v>
                </c:pt>
                <c:pt idx="12">
                  <c:v>0.41005199999999997</c:v>
                </c:pt>
                <c:pt idx="13">
                  <c:v>0.452573</c:v>
                </c:pt>
                <c:pt idx="14">
                  <c:v>0.61071799999999998</c:v>
                </c:pt>
                <c:pt idx="15">
                  <c:v>0.49961200000000006</c:v>
                </c:pt>
                <c:pt idx="16">
                  <c:v>0.55848399999999998</c:v>
                </c:pt>
                <c:pt idx="17">
                  <c:v>0.49961200000000006</c:v>
                </c:pt>
                <c:pt idx="18">
                  <c:v>0.48386600000000002</c:v>
                </c:pt>
                <c:pt idx="19">
                  <c:v>0.45316100000000004</c:v>
                </c:pt>
                <c:pt idx="20">
                  <c:v>0.45316100000000004</c:v>
                </c:pt>
                <c:pt idx="21">
                  <c:v>0.57000000000000006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1E-4A9D-A337-FE4B905512A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Sheet1!$AA$290:$AA$311</c:f>
              <c:numCache>
                <c:formatCode>#,##0.00</c:formatCode>
                <c:ptCount val="22"/>
                <c:pt idx="0">
                  <c:v>0.70840331380667398</c:v>
                </c:pt>
                <c:pt idx="1">
                  <c:v>0.77518428390606098</c:v>
                </c:pt>
                <c:pt idx="2">
                  <c:v>0.59065969164240006</c:v>
                </c:pt>
                <c:pt idx="3">
                  <c:v>0.59074424204241804</c:v>
                </c:pt>
                <c:pt idx="4">
                  <c:v>0.65693699999999999</c:v>
                </c:pt>
                <c:pt idx="5">
                  <c:v>0.49165701379025206</c:v>
                </c:pt>
                <c:pt idx="6">
                  <c:v>0.53554599999999997</c:v>
                </c:pt>
                <c:pt idx="7">
                  <c:v>0.44</c:v>
                </c:pt>
                <c:pt idx="8">
                  <c:v>0.50657200000000002</c:v>
                </c:pt>
                <c:pt idx="9">
                  <c:v>0.49200600000000005</c:v>
                </c:pt>
                <c:pt idx="10">
                  <c:v>0.11265000000000001</c:v>
                </c:pt>
                <c:pt idx="11">
                  <c:v>0.506521</c:v>
                </c:pt>
                <c:pt idx="12">
                  <c:v>0.39889000000000002</c:v>
                </c:pt>
                <c:pt idx="13">
                  <c:v>0.52129800000000004</c:v>
                </c:pt>
                <c:pt idx="14">
                  <c:v>0.51479900000000001</c:v>
                </c:pt>
                <c:pt idx="15">
                  <c:v>0.49165700000000001</c:v>
                </c:pt>
                <c:pt idx="16">
                  <c:v>0.44846600000000003</c:v>
                </c:pt>
                <c:pt idx="17">
                  <c:v>0.51059500000000002</c:v>
                </c:pt>
                <c:pt idx="18">
                  <c:v>0.513602</c:v>
                </c:pt>
                <c:pt idx="19">
                  <c:v>0.49165700000000001</c:v>
                </c:pt>
                <c:pt idx="20">
                  <c:v>0.55018100000000003</c:v>
                </c:pt>
                <c:pt idx="21">
                  <c:v>0.51059500000000002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A1E-4A9D-A337-FE4B90551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3154816"/>
        <c:axId val="663178816"/>
      </c:barChart>
      <c:catAx>
        <c:axId val="663154816"/>
        <c:scaling>
          <c:orientation val="minMax"/>
        </c:scaling>
        <c:delete val="1"/>
        <c:axPos val="l"/>
        <c:majorTickMark val="none"/>
        <c:minorTickMark val="none"/>
        <c:tickLblPos val="nextTo"/>
        <c:crossAx val="663178816"/>
        <c:crosses val="autoZero"/>
        <c:auto val="1"/>
        <c:lblAlgn val="ctr"/>
        <c:lblOffset val="100"/>
        <c:noMultiLvlLbl val="0"/>
      </c:catAx>
      <c:valAx>
        <c:axId val="66317881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5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6847531238591423"/>
          <c:y val="2.1209930506163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61051822611918"/>
          <c:y val="4.8204582141356873E-2"/>
          <c:w val="0.61164917122246865"/>
          <c:h val="0.9245357916234499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Sheet1!$B$321:$B$342</c:f>
              <c:numCache>
                <c:formatCode>#,##0.00</c:formatCode>
                <c:ptCount val="22"/>
                <c:pt idx="0">
                  <c:v>0.78164042597031902</c:v>
                </c:pt>
                <c:pt idx="1">
                  <c:v>0.56936160260255997</c:v>
                </c:pt>
                <c:pt idx="2">
                  <c:v>0.64342570102638097</c:v>
                </c:pt>
                <c:pt idx="3">
                  <c:v>0.72433005980068899</c:v>
                </c:pt>
                <c:pt idx="4">
                  <c:v>0.67571499999999995</c:v>
                </c:pt>
                <c:pt idx="5">
                  <c:v>0.79495334020184505</c:v>
                </c:pt>
                <c:pt idx="6">
                  <c:v>0.79855699999999996</c:v>
                </c:pt>
                <c:pt idx="7" formatCode="General">
                  <c:v>0.83</c:v>
                </c:pt>
                <c:pt idx="8" formatCode="General">
                  <c:v>0.73392199999999996</c:v>
                </c:pt>
                <c:pt idx="9" formatCode="General">
                  <c:v>0.79495300000000002</c:v>
                </c:pt>
                <c:pt idx="10" formatCode="General">
                  <c:v>0.81420800000000004</c:v>
                </c:pt>
                <c:pt idx="11" formatCode="General">
                  <c:v>0.79973499999999997</c:v>
                </c:pt>
                <c:pt idx="12" formatCode="General">
                  <c:v>0.82888300000000004</c:v>
                </c:pt>
                <c:pt idx="13" formatCode="General">
                  <c:v>0.79855699999999996</c:v>
                </c:pt>
                <c:pt idx="14" formatCode="General">
                  <c:v>0.78637900000000005</c:v>
                </c:pt>
                <c:pt idx="15" formatCode="General">
                  <c:v>0.79675499999999999</c:v>
                </c:pt>
                <c:pt idx="16" formatCode="General">
                  <c:v>0.79066599999999998</c:v>
                </c:pt>
                <c:pt idx="17" formatCode="General">
                  <c:v>0.79495300000000002</c:v>
                </c:pt>
                <c:pt idx="18" formatCode="General">
                  <c:v>0.78637900000000005</c:v>
                </c:pt>
                <c:pt idx="19" formatCode="General">
                  <c:v>0.79675499999999999</c:v>
                </c:pt>
                <c:pt idx="20" formatCode="General">
                  <c:v>0.76014999999999999</c:v>
                </c:pt>
                <c:pt idx="21" formatCode="General">
                  <c:v>0.79675499999999999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4-4003-9602-831A98398B8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Sheet1!$C$321:$C$342</c:f>
              <c:numCache>
                <c:formatCode>#,##0.00</c:formatCode>
                <c:ptCount val="22"/>
                <c:pt idx="0">
                  <c:v>0.74545545692291504</c:v>
                </c:pt>
                <c:pt idx="1">
                  <c:v>0.51324399113992403</c:v>
                </c:pt>
                <c:pt idx="2">
                  <c:v>0.621468183583745</c:v>
                </c:pt>
                <c:pt idx="3">
                  <c:v>0.68656957968633903</c:v>
                </c:pt>
                <c:pt idx="4">
                  <c:v>0.66315299999999999</c:v>
                </c:pt>
                <c:pt idx="5">
                  <c:v>0.81415045670500596</c:v>
                </c:pt>
                <c:pt idx="6">
                  <c:v>0.81415000000000004</c:v>
                </c:pt>
                <c:pt idx="7">
                  <c:v>0</c:v>
                </c:pt>
                <c:pt idx="8">
                  <c:v>0.822241</c:v>
                </c:pt>
                <c:pt idx="9">
                  <c:v>0.822241</c:v>
                </c:pt>
                <c:pt idx="10">
                  <c:v>0.82186899999999996</c:v>
                </c:pt>
                <c:pt idx="11">
                  <c:v>0.84332200000000002</c:v>
                </c:pt>
                <c:pt idx="12">
                  <c:v>0.81986800000000004</c:v>
                </c:pt>
                <c:pt idx="13">
                  <c:v>0.829376</c:v>
                </c:pt>
                <c:pt idx="14">
                  <c:v>0.84495900000000002</c:v>
                </c:pt>
                <c:pt idx="15">
                  <c:v>0.84495900000000002</c:v>
                </c:pt>
                <c:pt idx="16">
                  <c:v>0.83033199999999996</c:v>
                </c:pt>
                <c:pt idx="17">
                  <c:v>0.85303300000000004</c:v>
                </c:pt>
                <c:pt idx="18">
                  <c:v>0.81282799999999999</c:v>
                </c:pt>
                <c:pt idx="19">
                  <c:v>0.83315399999999995</c:v>
                </c:pt>
                <c:pt idx="20">
                  <c:v>0.83315399999999995</c:v>
                </c:pt>
                <c:pt idx="21">
                  <c:v>0.83315399999999995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A4-4003-9602-831A98398B8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Sheet1!$D$321:$D$342</c:f>
              <c:numCache>
                <c:formatCode>#,##0.00</c:formatCode>
                <c:ptCount val="22"/>
                <c:pt idx="0">
                  <c:v>0.67366051259603099</c:v>
                </c:pt>
                <c:pt idx="1">
                  <c:v>0.60414784320260395</c:v>
                </c:pt>
                <c:pt idx="2">
                  <c:v>0.63895728586824696</c:v>
                </c:pt>
                <c:pt idx="3">
                  <c:v>0.69534794521777799</c:v>
                </c:pt>
                <c:pt idx="4">
                  <c:v>0.73205799999999999</c:v>
                </c:pt>
                <c:pt idx="5">
                  <c:v>0.83228308389095496</c:v>
                </c:pt>
                <c:pt idx="6">
                  <c:v>0.82887999999999995</c:v>
                </c:pt>
                <c:pt idx="7">
                  <c:v>0.8</c:v>
                </c:pt>
                <c:pt idx="8">
                  <c:v>0.79656300000000002</c:v>
                </c:pt>
                <c:pt idx="9">
                  <c:v>0.832283</c:v>
                </c:pt>
                <c:pt idx="10">
                  <c:v>0.83710499999999999</c:v>
                </c:pt>
                <c:pt idx="11">
                  <c:v>0.83911199999999997</c:v>
                </c:pt>
                <c:pt idx="12">
                  <c:v>0.82887999999999995</c:v>
                </c:pt>
                <c:pt idx="13">
                  <c:v>0.83652000000000004</c:v>
                </c:pt>
                <c:pt idx="14">
                  <c:v>0.83568600000000004</c:v>
                </c:pt>
                <c:pt idx="15">
                  <c:v>0.81806500000000004</c:v>
                </c:pt>
                <c:pt idx="16">
                  <c:v>0.84053100000000003</c:v>
                </c:pt>
                <c:pt idx="17">
                  <c:v>0.82887999999999995</c:v>
                </c:pt>
                <c:pt idx="18">
                  <c:v>0.799485</c:v>
                </c:pt>
                <c:pt idx="19">
                  <c:v>0.82887999999999995</c:v>
                </c:pt>
                <c:pt idx="20">
                  <c:v>0.84062099999999995</c:v>
                </c:pt>
                <c:pt idx="21">
                  <c:v>0.82887999999999995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A4-4003-9602-831A98398B8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Sheet1!$E$321:$E$342</c:f>
              <c:numCache>
                <c:formatCode>#,##0.00</c:formatCode>
                <c:ptCount val="22"/>
                <c:pt idx="0">
                  <c:v>0.77852274164361301</c:v>
                </c:pt>
                <c:pt idx="1">
                  <c:v>0.61300117128838705</c:v>
                </c:pt>
                <c:pt idx="2">
                  <c:v>0.70336376630682496</c:v>
                </c:pt>
                <c:pt idx="3">
                  <c:v>0.74124450342577897</c:v>
                </c:pt>
                <c:pt idx="4">
                  <c:v>0.71353299999999997</c:v>
                </c:pt>
                <c:pt idx="5">
                  <c:v>0.84001723723061295</c:v>
                </c:pt>
                <c:pt idx="6">
                  <c:v>0.81073700000000004</c:v>
                </c:pt>
                <c:pt idx="7">
                  <c:v>0.8</c:v>
                </c:pt>
                <c:pt idx="8">
                  <c:v>0.81405300000000003</c:v>
                </c:pt>
                <c:pt idx="9">
                  <c:v>0.84001700000000001</c:v>
                </c:pt>
                <c:pt idx="10">
                  <c:v>0.83447800000000005</c:v>
                </c:pt>
                <c:pt idx="11">
                  <c:v>0.84155999999999997</c:v>
                </c:pt>
                <c:pt idx="12">
                  <c:v>0.83878600000000003</c:v>
                </c:pt>
                <c:pt idx="13">
                  <c:v>0.83940199999999998</c:v>
                </c:pt>
                <c:pt idx="14">
                  <c:v>0.82853600000000005</c:v>
                </c:pt>
                <c:pt idx="15">
                  <c:v>0.81201500000000004</c:v>
                </c:pt>
                <c:pt idx="16">
                  <c:v>0.80752500000000005</c:v>
                </c:pt>
                <c:pt idx="17">
                  <c:v>0.84001700000000001</c:v>
                </c:pt>
                <c:pt idx="18">
                  <c:v>0.84001700000000001</c:v>
                </c:pt>
                <c:pt idx="19">
                  <c:v>0.81405300000000003</c:v>
                </c:pt>
                <c:pt idx="20">
                  <c:v>0.82509699999999997</c:v>
                </c:pt>
                <c:pt idx="21">
                  <c:v>0.84001700000000001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A4-4003-9602-831A98398B8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Sheet1!$F$321:$F$342</c:f>
              <c:numCache>
                <c:formatCode>#,##0.00</c:formatCode>
                <c:ptCount val="22"/>
                <c:pt idx="0">
                  <c:v>0.70416733004457599</c:v>
                </c:pt>
                <c:pt idx="1">
                  <c:v>0.64461123464080605</c:v>
                </c:pt>
                <c:pt idx="2">
                  <c:v>0.73688429866136995</c:v>
                </c:pt>
                <c:pt idx="3">
                  <c:v>0.709116106027041</c:v>
                </c:pt>
                <c:pt idx="4">
                  <c:v>0.80939899999999998</c:v>
                </c:pt>
                <c:pt idx="5">
                  <c:v>0.83829866507344397</c:v>
                </c:pt>
                <c:pt idx="6">
                  <c:v>0.83829900000000002</c:v>
                </c:pt>
                <c:pt idx="7">
                  <c:v>0.82</c:v>
                </c:pt>
                <c:pt idx="8">
                  <c:v>0.76042299999999996</c:v>
                </c:pt>
                <c:pt idx="9">
                  <c:v>0.84763699999999997</c:v>
                </c:pt>
                <c:pt idx="10">
                  <c:v>0.851518</c:v>
                </c:pt>
                <c:pt idx="11">
                  <c:v>0.86534599999999995</c:v>
                </c:pt>
                <c:pt idx="12">
                  <c:v>0.852715</c:v>
                </c:pt>
                <c:pt idx="13">
                  <c:v>0.84883299999999995</c:v>
                </c:pt>
                <c:pt idx="14">
                  <c:v>0.86342699999999994</c:v>
                </c:pt>
                <c:pt idx="15">
                  <c:v>0.94291800000000003</c:v>
                </c:pt>
                <c:pt idx="16">
                  <c:v>0.71928700000000001</c:v>
                </c:pt>
                <c:pt idx="17">
                  <c:v>0.76260899999999998</c:v>
                </c:pt>
                <c:pt idx="18">
                  <c:v>0.82896099999999995</c:v>
                </c:pt>
                <c:pt idx="19">
                  <c:v>0.80359599999999998</c:v>
                </c:pt>
                <c:pt idx="20">
                  <c:v>0.79973899999999998</c:v>
                </c:pt>
                <c:pt idx="21">
                  <c:v>0.79973899999999998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A4-4003-9602-831A98398B8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Sheet1!$G$321:$G$342</c:f>
              <c:numCache>
                <c:formatCode>#,##0.00</c:formatCode>
                <c:ptCount val="22"/>
                <c:pt idx="0">
                  <c:v>0.749683112381341</c:v>
                </c:pt>
                <c:pt idx="1">
                  <c:v>0.70016568496173803</c:v>
                </c:pt>
                <c:pt idx="2">
                  <c:v>0.729377565514575</c:v>
                </c:pt>
                <c:pt idx="3">
                  <c:v>0.75979821589233398</c:v>
                </c:pt>
                <c:pt idx="4">
                  <c:v>0.76624800000000004</c:v>
                </c:pt>
                <c:pt idx="5">
                  <c:v>0.82770920966553996</c:v>
                </c:pt>
                <c:pt idx="6">
                  <c:v>0.81870299999999996</c:v>
                </c:pt>
                <c:pt idx="7">
                  <c:v>0.82</c:v>
                </c:pt>
                <c:pt idx="8">
                  <c:v>0.81618400000000002</c:v>
                </c:pt>
                <c:pt idx="9">
                  <c:v>0.81618400000000002</c:v>
                </c:pt>
                <c:pt idx="10">
                  <c:v>0.81516900000000003</c:v>
                </c:pt>
                <c:pt idx="11">
                  <c:v>0.86468500000000004</c:v>
                </c:pt>
                <c:pt idx="12">
                  <c:v>0.81516900000000003</c:v>
                </c:pt>
                <c:pt idx="13">
                  <c:v>0.82818599999999998</c:v>
                </c:pt>
                <c:pt idx="14">
                  <c:v>0.82122200000000001</c:v>
                </c:pt>
                <c:pt idx="15">
                  <c:v>0.79250299999999996</c:v>
                </c:pt>
                <c:pt idx="16">
                  <c:v>0.81870299999999996</c:v>
                </c:pt>
                <c:pt idx="17">
                  <c:v>0.82122200000000001</c:v>
                </c:pt>
                <c:pt idx="18">
                  <c:v>0.81516900000000003</c:v>
                </c:pt>
                <c:pt idx="19">
                  <c:v>0.82122200000000001</c:v>
                </c:pt>
                <c:pt idx="20">
                  <c:v>0.781111</c:v>
                </c:pt>
                <c:pt idx="21">
                  <c:v>0.82122200000000001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A4-4003-9602-831A98398B8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Sheet1!$H$321:$H$342</c:f>
              <c:numCache>
                <c:formatCode>#,##0.00</c:formatCode>
                <c:ptCount val="22"/>
                <c:pt idx="0">
                  <c:v>0.65166401037065502</c:v>
                </c:pt>
                <c:pt idx="1">
                  <c:v>0.57087603146434496</c:v>
                </c:pt>
                <c:pt idx="2">
                  <c:v>0.647262025835455</c:v>
                </c:pt>
                <c:pt idx="3">
                  <c:v>0.649831397250896</c:v>
                </c:pt>
                <c:pt idx="4">
                  <c:v>0.71613599999999999</c:v>
                </c:pt>
                <c:pt idx="5">
                  <c:v>0.80323095148416201</c:v>
                </c:pt>
                <c:pt idx="6">
                  <c:v>0.81174999999999997</c:v>
                </c:pt>
                <c:pt idx="7">
                  <c:v>0.79</c:v>
                </c:pt>
                <c:pt idx="8">
                  <c:v>0.75091799999999997</c:v>
                </c:pt>
                <c:pt idx="9">
                  <c:v>0.78134599999999998</c:v>
                </c:pt>
                <c:pt idx="10">
                  <c:v>0.75766800000000001</c:v>
                </c:pt>
                <c:pt idx="11">
                  <c:v>0.78976199999999996</c:v>
                </c:pt>
                <c:pt idx="12">
                  <c:v>0.74442399999999997</c:v>
                </c:pt>
                <c:pt idx="13">
                  <c:v>0.798539</c:v>
                </c:pt>
                <c:pt idx="14">
                  <c:v>0.78639899999999996</c:v>
                </c:pt>
                <c:pt idx="15">
                  <c:v>0.78639899999999996</c:v>
                </c:pt>
                <c:pt idx="16">
                  <c:v>0.81399299999999997</c:v>
                </c:pt>
                <c:pt idx="17">
                  <c:v>0.78134599999999998</c:v>
                </c:pt>
                <c:pt idx="18">
                  <c:v>0.77629300000000001</c:v>
                </c:pt>
                <c:pt idx="19">
                  <c:v>0.81399299999999997</c:v>
                </c:pt>
                <c:pt idx="20">
                  <c:v>0.80075600000000002</c:v>
                </c:pt>
                <c:pt idx="21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A4-4003-9602-831A98398B8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Sheet1!$I$321:$I$342</c:f>
              <c:numCache>
                <c:formatCode>#,##0.00</c:formatCode>
                <c:ptCount val="22"/>
                <c:pt idx="0">
                  <c:v>0.72088090885314104</c:v>
                </c:pt>
                <c:pt idx="1">
                  <c:v>0.60889125171520397</c:v>
                </c:pt>
                <c:pt idx="2">
                  <c:v>0.69673489540932299</c:v>
                </c:pt>
                <c:pt idx="3">
                  <c:v>0.74725965871559796</c:v>
                </c:pt>
                <c:pt idx="4">
                  <c:v>0.73118399999999995</c:v>
                </c:pt>
                <c:pt idx="5">
                  <c:v>0.82824608463788896</c:v>
                </c:pt>
                <c:pt idx="6">
                  <c:v>0.70953999999999995</c:v>
                </c:pt>
                <c:pt idx="7">
                  <c:v>0.8</c:v>
                </c:pt>
                <c:pt idx="8">
                  <c:v>0.80979699999999999</c:v>
                </c:pt>
                <c:pt idx="9">
                  <c:v>0.80202099999999998</c:v>
                </c:pt>
                <c:pt idx="10">
                  <c:v>0.79389600000000005</c:v>
                </c:pt>
                <c:pt idx="11">
                  <c:v>0.81757299999999999</c:v>
                </c:pt>
                <c:pt idx="12">
                  <c:v>0.77455600000000002</c:v>
                </c:pt>
                <c:pt idx="13">
                  <c:v>0.81139499999999998</c:v>
                </c:pt>
                <c:pt idx="14">
                  <c:v>0.80979699999999999</c:v>
                </c:pt>
                <c:pt idx="15">
                  <c:v>0.80521799999999999</c:v>
                </c:pt>
                <c:pt idx="16">
                  <c:v>0.80979699999999999</c:v>
                </c:pt>
                <c:pt idx="17">
                  <c:v>0.81428900000000004</c:v>
                </c:pt>
                <c:pt idx="18">
                  <c:v>0.80521799999999999</c:v>
                </c:pt>
                <c:pt idx="19">
                  <c:v>0.80361899999999997</c:v>
                </c:pt>
                <c:pt idx="20">
                  <c:v>0.80202099999999998</c:v>
                </c:pt>
                <c:pt idx="21">
                  <c:v>0.80202099999999998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A4-4003-9602-831A98398B8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Sheet1!$J$321:$J$342</c:f>
              <c:numCache>
                <c:formatCode>#,##0.00</c:formatCode>
                <c:ptCount val="22"/>
                <c:pt idx="0">
                  <c:v>0.60515218666593795</c:v>
                </c:pt>
                <c:pt idx="1">
                  <c:v>0.55283093064413202</c:v>
                </c:pt>
                <c:pt idx="2">
                  <c:v>0.53102377920634303</c:v>
                </c:pt>
                <c:pt idx="3">
                  <c:v>0.62214190336052899</c:v>
                </c:pt>
                <c:pt idx="4">
                  <c:v>0.60515200000000002</c:v>
                </c:pt>
                <c:pt idx="5">
                  <c:v>0.73952281404374998</c:v>
                </c:pt>
                <c:pt idx="6">
                  <c:v>0.81428900000000004</c:v>
                </c:pt>
                <c:pt idx="7" formatCode="General">
                  <c:v>0.67</c:v>
                </c:pt>
                <c:pt idx="8" formatCode="General">
                  <c:v>0.71679700000000002</c:v>
                </c:pt>
                <c:pt idx="9" formatCode="General">
                  <c:v>0.70953999999999995</c:v>
                </c:pt>
                <c:pt idx="10" formatCode="General">
                  <c:v>0.72483799999999998</c:v>
                </c:pt>
                <c:pt idx="11" formatCode="General">
                  <c:v>0.64347100000000002</c:v>
                </c:pt>
                <c:pt idx="12" formatCode="General">
                  <c:v>0.72404100000000005</c:v>
                </c:pt>
                <c:pt idx="13" formatCode="General">
                  <c:v>0.68628599999999995</c:v>
                </c:pt>
                <c:pt idx="14" formatCode="General">
                  <c:v>0.70953999999999995</c:v>
                </c:pt>
                <c:pt idx="15" formatCode="General">
                  <c:v>0.64347100000000002</c:v>
                </c:pt>
                <c:pt idx="16" formatCode="General">
                  <c:v>0.64328700000000005</c:v>
                </c:pt>
                <c:pt idx="17" formatCode="General">
                  <c:v>0.70953999999999995</c:v>
                </c:pt>
                <c:pt idx="18" formatCode="General">
                  <c:v>0.70953999999999995</c:v>
                </c:pt>
                <c:pt idx="19" formatCode="General">
                  <c:v>0.70953999999999995</c:v>
                </c:pt>
                <c:pt idx="20" formatCode="General">
                  <c:v>0.70953999999999995</c:v>
                </c:pt>
                <c:pt idx="21" formatCode="General">
                  <c:v>0.70953999999999995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A4-4003-9602-831A98398B8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Sheet1!$K$321:$K$342</c:f>
              <c:numCache>
                <c:formatCode>#,##0.00</c:formatCode>
                <c:ptCount val="22"/>
                <c:pt idx="0">
                  <c:v>0.58707412546063797</c:v>
                </c:pt>
                <c:pt idx="1">
                  <c:v>0.39163175943281803</c:v>
                </c:pt>
                <c:pt idx="2">
                  <c:v>0.500629935303327</c:v>
                </c:pt>
                <c:pt idx="3">
                  <c:v>0.555597216867314</c:v>
                </c:pt>
                <c:pt idx="4">
                  <c:v>0.566944</c:v>
                </c:pt>
                <c:pt idx="5">
                  <c:v>0.64962599292744505</c:v>
                </c:pt>
                <c:pt idx="6">
                  <c:v>0.66626700000000005</c:v>
                </c:pt>
                <c:pt idx="7" formatCode="General">
                  <c:v>0.72</c:v>
                </c:pt>
                <c:pt idx="8" formatCode="General">
                  <c:v>0.66629700000000003</c:v>
                </c:pt>
                <c:pt idx="9" formatCode="General">
                  <c:v>0.75420500000000001</c:v>
                </c:pt>
                <c:pt idx="10" formatCode="General">
                  <c:v>0.698681</c:v>
                </c:pt>
                <c:pt idx="11" formatCode="General">
                  <c:v>0.72927500000000001</c:v>
                </c:pt>
                <c:pt idx="12" formatCode="General">
                  <c:v>0.68160900000000002</c:v>
                </c:pt>
                <c:pt idx="13" formatCode="General">
                  <c:v>0.68986499999999995</c:v>
                </c:pt>
                <c:pt idx="14" formatCode="General">
                  <c:v>0.68293800000000005</c:v>
                </c:pt>
                <c:pt idx="15" formatCode="General">
                  <c:v>0.72927399999999998</c:v>
                </c:pt>
                <c:pt idx="16" formatCode="General">
                  <c:v>0.72927500000000001</c:v>
                </c:pt>
                <c:pt idx="17" formatCode="General">
                  <c:v>0.748996</c:v>
                </c:pt>
                <c:pt idx="18" formatCode="General">
                  <c:v>0.75941499999999995</c:v>
                </c:pt>
                <c:pt idx="19" formatCode="General">
                  <c:v>0.70503300000000002</c:v>
                </c:pt>
                <c:pt idx="20" formatCode="General">
                  <c:v>0.66626700000000005</c:v>
                </c:pt>
                <c:pt idx="21" formatCode="General">
                  <c:v>0.66629700000000003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0A4-4003-9602-831A98398B8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Sheet1!$L$321:$L$342</c:f>
              <c:numCache>
                <c:formatCode>#,##0.00</c:formatCode>
                <c:ptCount val="22"/>
                <c:pt idx="0">
                  <c:v>0.59062365236775505</c:v>
                </c:pt>
                <c:pt idx="1">
                  <c:v>0.51482114117868305</c:v>
                </c:pt>
                <c:pt idx="2">
                  <c:v>0.54557404705594204</c:v>
                </c:pt>
                <c:pt idx="3">
                  <c:v>0.64688377763301597</c:v>
                </c:pt>
                <c:pt idx="4">
                  <c:v>0.59062400000000004</c:v>
                </c:pt>
                <c:pt idx="5">
                  <c:v>0.68627252520255599</c:v>
                </c:pt>
                <c:pt idx="6">
                  <c:v>0.65579600000000005</c:v>
                </c:pt>
                <c:pt idx="7" formatCode="General">
                  <c:v>0.66</c:v>
                </c:pt>
                <c:pt idx="8" formatCode="General">
                  <c:v>0.65127900000000005</c:v>
                </c:pt>
                <c:pt idx="9" formatCode="General">
                  <c:v>0.73119699999999999</c:v>
                </c:pt>
                <c:pt idx="10" formatCode="General">
                  <c:v>0.74462499999999998</c:v>
                </c:pt>
                <c:pt idx="11" formatCode="General">
                  <c:v>0.77638600000000002</c:v>
                </c:pt>
                <c:pt idx="12" formatCode="General">
                  <c:v>0.81694100000000003</c:v>
                </c:pt>
                <c:pt idx="13" formatCode="General">
                  <c:v>0.77638600000000002</c:v>
                </c:pt>
                <c:pt idx="14" formatCode="General">
                  <c:v>0.61821599999999999</c:v>
                </c:pt>
                <c:pt idx="15" formatCode="General">
                  <c:v>0.73119699999999999</c:v>
                </c:pt>
                <c:pt idx="16" formatCode="General">
                  <c:v>0.670381</c:v>
                </c:pt>
                <c:pt idx="17" formatCode="General">
                  <c:v>0.73119699999999999</c:v>
                </c:pt>
                <c:pt idx="18" formatCode="General">
                  <c:v>0.73614299999999999</c:v>
                </c:pt>
                <c:pt idx="19" formatCode="General">
                  <c:v>0.77593900000000005</c:v>
                </c:pt>
                <c:pt idx="20" formatCode="General">
                  <c:v>0.77593900000000005</c:v>
                </c:pt>
                <c:pt idx="21" formatCode="General">
                  <c:v>0.65127900000000005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A4-4003-9602-831A98398B8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Sheet1!$M$321:$M$342</c:f>
              <c:numCache>
                <c:formatCode>#,##0.00</c:formatCode>
                <c:ptCount val="22"/>
                <c:pt idx="0">
                  <c:v>0.52135007385129795</c:v>
                </c:pt>
                <c:pt idx="1">
                  <c:v>0.45444759029259002</c:v>
                </c:pt>
                <c:pt idx="2">
                  <c:v>0.63386026632199399</c:v>
                </c:pt>
                <c:pt idx="3">
                  <c:v>0.63386026632199399</c:v>
                </c:pt>
                <c:pt idx="4">
                  <c:v>0.57282299999999997</c:v>
                </c:pt>
                <c:pt idx="5">
                  <c:v>0.73670919356244902</c:v>
                </c:pt>
                <c:pt idx="6">
                  <c:v>0.693187</c:v>
                </c:pt>
                <c:pt idx="7" formatCode="General">
                  <c:v>0.79</c:v>
                </c:pt>
                <c:pt idx="8" formatCode="General">
                  <c:v>0.71923700000000002</c:v>
                </c:pt>
                <c:pt idx="9" formatCode="General">
                  <c:v>0.73636900000000005</c:v>
                </c:pt>
                <c:pt idx="10" formatCode="General">
                  <c:v>0.83718999999999999</c:v>
                </c:pt>
                <c:pt idx="11" formatCode="General">
                  <c:v>0.71929699999999996</c:v>
                </c:pt>
                <c:pt idx="12" formatCode="General">
                  <c:v>0.83111500000000005</c:v>
                </c:pt>
                <c:pt idx="13" formatCode="General">
                  <c:v>0.702017</c:v>
                </c:pt>
                <c:pt idx="14" formatCode="General">
                  <c:v>0.70817600000000003</c:v>
                </c:pt>
                <c:pt idx="15" formatCode="General">
                  <c:v>0.73670899999999995</c:v>
                </c:pt>
                <c:pt idx="16" formatCode="General">
                  <c:v>0.77955200000000002</c:v>
                </c:pt>
                <c:pt idx="17" formatCode="General">
                  <c:v>0.71443599999999996</c:v>
                </c:pt>
                <c:pt idx="18" formatCode="General">
                  <c:v>0.71494800000000003</c:v>
                </c:pt>
                <c:pt idx="19" formatCode="General">
                  <c:v>0.73670899999999995</c:v>
                </c:pt>
                <c:pt idx="20" formatCode="General">
                  <c:v>0.67845599999999995</c:v>
                </c:pt>
                <c:pt idx="21" formatCode="General">
                  <c:v>0.71443599999999996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0A4-4003-9602-831A98398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1940992"/>
        <c:axId val="1551938112"/>
      </c:barChart>
      <c:catAx>
        <c:axId val="1551940992"/>
        <c:scaling>
          <c:orientation val="minMax"/>
        </c:scaling>
        <c:delete val="1"/>
        <c:axPos val="l"/>
        <c:majorTickMark val="none"/>
        <c:minorTickMark val="none"/>
        <c:tickLblPos val="nextTo"/>
        <c:crossAx val="1551938112"/>
        <c:crosses val="autoZero"/>
        <c:auto val="1"/>
        <c:lblAlgn val="ctr"/>
        <c:lblOffset val="100"/>
        <c:noMultiLvlLbl val="0"/>
      </c:catAx>
      <c:valAx>
        <c:axId val="155193811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94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4057650</xdr:colOff>
      <xdr:row>383</xdr:row>
      <xdr:rowOff>9525</xdr:rowOff>
    </xdr:from>
    <xdr:ext cx="4476750" cy="22860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419100</xdr:colOff>
      <xdr:row>383</xdr:row>
      <xdr:rowOff>104775</xdr:rowOff>
    </xdr:from>
    <xdr:ext cx="3667125" cy="22860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590550</xdr:colOff>
      <xdr:row>381</xdr:row>
      <xdr:rowOff>9525</xdr:rowOff>
    </xdr:from>
    <xdr:ext cx="3876675" cy="24003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895350</xdr:colOff>
      <xdr:row>378</xdr:row>
      <xdr:rowOff>190500</xdr:rowOff>
    </xdr:from>
    <xdr:ext cx="3876675" cy="240030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457200</xdr:colOff>
      <xdr:row>383</xdr:row>
      <xdr:rowOff>104775</xdr:rowOff>
    </xdr:from>
    <xdr:ext cx="3876675" cy="2400300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8</xdr:col>
      <xdr:colOff>523875</xdr:colOff>
      <xdr:row>370</xdr:row>
      <xdr:rowOff>123825</xdr:rowOff>
    </xdr:from>
    <xdr:ext cx="3876675" cy="2400300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714375</xdr:colOff>
      <xdr:row>382</xdr:row>
      <xdr:rowOff>0</xdr:rowOff>
    </xdr:from>
    <xdr:ext cx="3876675" cy="2400300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</xdr:col>
      <xdr:colOff>104775</xdr:colOff>
      <xdr:row>390</xdr:row>
      <xdr:rowOff>133350</xdr:rowOff>
    </xdr:from>
    <xdr:ext cx="3876675" cy="2400300"/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8</xdr:col>
      <xdr:colOff>476250</xdr:colOff>
      <xdr:row>374</xdr:row>
      <xdr:rowOff>114300</xdr:rowOff>
    </xdr:from>
    <xdr:ext cx="3876675" cy="2400300"/>
    <xdr:graphicFrame macro="">
      <xdr:nvGraphicFramePr>
        <xdr:cNvPr id="10" name="Chart 9" title="Chart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0</xdr:col>
      <xdr:colOff>219075</xdr:colOff>
      <xdr:row>379</xdr:row>
      <xdr:rowOff>38100</xdr:rowOff>
    </xdr:from>
    <xdr:ext cx="3876675" cy="2400300"/>
    <xdr:graphicFrame macro="">
      <xdr:nvGraphicFramePr>
        <xdr:cNvPr id="11" name="Chart 10" title="Chart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0</xdr:col>
      <xdr:colOff>781050</xdr:colOff>
      <xdr:row>476</xdr:row>
      <xdr:rowOff>28575</xdr:rowOff>
    </xdr:from>
    <xdr:ext cx="5715000" cy="3533775"/>
    <xdr:graphicFrame macro="">
      <xdr:nvGraphicFramePr>
        <xdr:cNvPr id="12" name="Chart 11" title="Chart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17</xdr:col>
      <xdr:colOff>191860</xdr:colOff>
      <xdr:row>77</xdr:row>
      <xdr:rowOff>25854</xdr:rowOff>
    </xdr:from>
    <xdr:ext cx="5715000" cy="3533775"/>
    <xdr:graphicFrame macro="">
      <xdr:nvGraphicFramePr>
        <xdr:cNvPr id="13" name="Chart 12" title="Chart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23</xdr:col>
      <xdr:colOff>403514</xdr:colOff>
      <xdr:row>76</xdr:row>
      <xdr:rowOff>130753</xdr:rowOff>
    </xdr:from>
    <xdr:ext cx="5715000" cy="3533775"/>
    <xdr:graphicFrame macro="">
      <xdr:nvGraphicFramePr>
        <xdr:cNvPr id="14" name="Chart 13" title="Chart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22</xdr:col>
      <xdr:colOff>15833</xdr:colOff>
      <xdr:row>78</xdr:row>
      <xdr:rowOff>65734</xdr:rowOff>
    </xdr:from>
    <xdr:ext cx="5848350" cy="3619500"/>
    <xdr:graphicFrame macro="">
      <xdr:nvGraphicFramePr>
        <xdr:cNvPr id="15" name="Chart 14" title="Chart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twoCellAnchor>
    <xdr:from>
      <xdr:col>16</xdr:col>
      <xdr:colOff>108858</xdr:colOff>
      <xdr:row>7</xdr:row>
      <xdr:rowOff>105902</xdr:rowOff>
    </xdr:from>
    <xdr:to>
      <xdr:col>20</xdr:col>
      <xdr:colOff>451049</xdr:colOff>
      <xdr:row>64</xdr:row>
      <xdr:rowOff>15417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FEFB656-578A-8F51-4740-32A65B09A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668482</xdr:colOff>
      <xdr:row>7</xdr:row>
      <xdr:rowOff>3463</xdr:rowOff>
    </xdr:from>
    <xdr:to>
      <xdr:col>21</xdr:col>
      <xdr:colOff>214745</xdr:colOff>
      <xdr:row>74</xdr:row>
      <xdr:rowOff>58881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4C44E28-6584-DF2C-D00F-0B2AAEE57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20</xdr:col>
      <xdr:colOff>668488</xdr:colOff>
      <xdr:row>6</xdr:row>
      <xdr:rowOff>131618</xdr:rowOff>
    </xdr:from>
    <xdr:to>
      <xdr:col>22</xdr:col>
      <xdr:colOff>374078</xdr:colOff>
      <xdr:row>59</xdr:row>
      <xdr:rowOff>131616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1A83FD9-714E-1BD0-04B0-7A9435D7E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827815</xdr:colOff>
      <xdr:row>6</xdr:row>
      <xdr:rowOff>138545</xdr:rowOff>
    </xdr:from>
    <xdr:to>
      <xdr:col>23</xdr:col>
      <xdr:colOff>422569</xdr:colOff>
      <xdr:row>59</xdr:row>
      <xdr:rowOff>145468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776BD1A-B492-D1C8-1C08-A7194DBF9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23</xdr:col>
      <xdr:colOff>65808</xdr:colOff>
      <xdr:row>6</xdr:row>
      <xdr:rowOff>138545</xdr:rowOff>
    </xdr:from>
    <xdr:to>
      <xdr:col>24</xdr:col>
      <xdr:colOff>415636</xdr:colOff>
      <xdr:row>59</xdr:row>
      <xdr:rowOff>145475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148B7ED9-7ADD-1BE6-B3CA-7BE57B8CC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79665</xdr:colOff>
      <xdr:row>6</xdr:row>
      <xdr:rowOff>131618</xdr:rowOff>
    </xdr:from>
    <xdr:to>
      <xdr:col>25</xdr:col>
      <xdr:colOff>415639</xdr:colOff>
      <xdr:row>59</xdr:row>
      <xdr:rowOff>138545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1428A31-0DCC-66B0-DF31-D0BEBC0C1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25</xdr:col>
      <xdr:colOff>31171</xdr:colOff>
      <xdr:row>8</xdr:row>
      <xdr:rowOff>103909</xdr:rowOff>
    </xdr:from>
    <xdr:to>
      <xdr:col>27</xdr:col>
      <xdr:colOff>34635</xdr:colOff>
      <xdr:row>61</xdr:row>
      <xdr:rowOff>110839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452F259-2DB1-444F-590C-4A30BE198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26</xdr:col>
      <xdr:colOff>716972</xdr:colOff>
      <xdr:row>6</xdr:row>
      <xdr:rowOff>103906</xdr:rowOff>
    </xdr:from>
    <xdr:to>
      <xdr:col>29</xdr:col>
      <xdr:colOff>235525</xdr:colOff>
      <xdr:row>59</xdr:row>
      <xdr:rowOff>145475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74634D2D-39FA-A7CA-CB3B-693ED1D60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28</xdr:col>
      <xdr:colOff>391395</xdr:colOff>
      <xdr:row>6</xdr:row>
      <xdr:rowOff>102476</xdr:rowOff>
    </xdr:from>
    <xdr:to>
      <xdr:col>30</xdr:col>
      <xdr:colOff>41564</xdr:colOff>
      <xdr:row>59</xdr:row>
      <xdr:rowOff>152400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307DBB60-6769-184E-CBB4-FE145D127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29</xdr:col>
      <xdr:colOff>325579</xdr:colOff>
      <xdr:row>6</xdr:row>
      <xdr:rowOff>102422</xdr:rowOff>
    </xdr:from>
    <xdr:to>
      <xdr:col>30</xdr:col>
      <xdr:colOff>793170</xdr:colOff>
      <xdr:row>59</xdr:row>
      <xdr:rowOff>168729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D81E4E97-8CDD-8FB4-B077-8D0D8847B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30</xdr:col>
      <xdr:colOff>576449</xdr:colOff>
      <xdr:row>6</xdr:row>
      <xdr:rowOff>78182</xdr:rowOff>
    </xdr:from>
    <xdr:to>
      <xdr:col>32</xdr:col>
      <xdr:colOff>219692</xdr:colOff>
      <xdr:row>59</xdr:row>
      <xdr:rowOff>168729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2B981374-75DA-E0CE-6C78-2FABF28E0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8C19D8-4657-424C-8434-C81D83BD76F0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7Jigkyjt186dUPnfByGg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1223"/>
  <sheetViews>
    <sheetView tabSelected="1" zoomScale="40" zoomScaleNormal="40" workbookViewId="0">
      <selection activeCell="I366" sqref="I366"/>
    </sheetView>
  </sheetViews>
  <sheetFormatPr defaultColWidth="12.609375" defaultRowHeight="15.75" customHeight="1" x14ac:dyDescent="0.4"/>
  <cols>
    <col min="1" max="1" width="14.6640625" customWidth="1"/>
    <col min="2" max="2" width="12.109375" customWidth="1"/>
    <col min="3" max="3" width="12.94140625" customWidth="1"/>
    <col min="4" max="4" width="13.71875" customWidth="1"/>
  </cols>
  <sheetData>
    <row r="1" spans="1:16" ht="30.3" x14ac:dyDescent="1">
      <c r="A1" s="1" t="s">
        <v>0</v>
      </c>
    </row>
    <row r="3" spans="1:16" ht="15" x14ac:dyDescent="0.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4">
        <v>151676</v>
      </c>
      <c r="O3" s="2" t="s">
        <v>1</v>
      </c>
      <c r="P3" s="3" t="s">
        <v>10</v>
      </c>
    </row>
    <row r="4" spans="1:16" ht="12.3" x14ac:dyDescent="0.4">
      <c r="A4" s="5" t="s">
        <v>13</v>
      </c>
      <c r="B4" s="6">
        <v>0.25927164897861499</v>
      </c>
      <c r="C4" s="6">
        <v>0.37367369601359302</v>
      </c>
      <c r="D4" s="6">
        <v>0.415120063292368</v>
      </c>
      <c r="E4" s="6">
        <v>0.32629475393824298</v>
      </c>
      <c r="F4" s="6">
        <v>0.30415141548833302</v>
      </c>
      <c r="G4" s="6">
        <v>0.22982204685136901</v>
      </c>
      <c r="H4" s="6">
        <v>0.37801906961704201</v>
      </c>
      <c r="I4" s="6">
        <v>0.381528101607857</v>
      </c>
      <c r="J4" s="6">
        <v>0.50990091747229005</v>
      </c>
      <c r="K4" s="6">
        <v>0.449417568277163</v>
      </c>
      <c r="L4" s="6">
        <v>0.43627072219624702</v>
      </c>
      <c r="M4" s="6">
        <v>0.39246902785822102</v>
      </c>
      <c r="O4" s="5" t="s">
        <v>13</v>
      </c>
      <c r="P4" s="6">
        <v>0.50990091747229005</v>
      </c>
    </row>
    <row r="5" spans="1:16" ht="12.3" x14ac:dyDescent="0.4">
      <c r="A5" s="5" t="s">
        <v>14</v>
      </c>
      <c r="B5" s="6">
        <v>0.53092639168142197</v>
      </c>
      <c r="C5" s="6">
        <v>0.444586912840707</v>
      </c>
      <c r="D5" s="6">
        <v>0.49235310978310898</v>
      </c>
      <c r="E5" s="6">
        <v>0.46124043947947302</v>
      </c>
      <c r="F5" s="6">
        <v>0.32711761410718199</v>
      </c>
      <c r="G5" s="6">
        <v>0.32673499915390802</v>
      </c>
      <c r="H5" s="6">
        <v>0.48677490600343398</v>
      </c>
      <c r="I5" s="6">
        <v>0.49810993193034903</v>
      </c>
      <c r="J5" s="6">
        <v>0.58806679086480795</v>
      </c>
      <c r="K5" s="6">
        <v>0.43391515873035602</v>
      </c>
      <c r="L5" s="6">
        <v>0.522103404143618</v>
      </c>
      <c r="M5" s="6">
        <v>0.48594850730946099</v>
      </c>
      <c r="O5" s="5" t="s">
        <v>14</v>
      </c>
      <c r="P5" s="6">
        <v>0.58806679086480795</v>
      </c>
    </row>
    <row r="6" spans="1:16" ht="12.3" x14ac:dyDescent="0.4">
      <c r="A6" s="5" t="s">
        <v>15</v>
      </c>
      <c r="B6" s="6">
        <v>0.31077497666348503</v>
      </c>
      <c r="C6" s="6">
        <v>0.257112611084444</v>
      </c>
      <c r="D6" s="6">
        <v>0.20669618095342199</v>
      </c>
      <c r="E6" s="6">
        <v>0.211245919979618</v>
      </c>
      <c r="F6" s="6">
        <v>0.20273962591552</v>
      </c>
      <c r="G6" s="6">
        <v>0.171883361121973</v>
      </c>
      <c r="H6" s="6">
        <v>0.26287716341885498</v>
      </c>
      <c r="I6" s="6">
        <v>0.27772180474119201</v>
      </c>
      <c r="J6" s="6">
        <v>0.34665472163088701</v>
      </c>
      <c r="K6" s="6">
        <v>0.33976310583927799</v>
      </c>
      <c r="L6" s="6">
        <v>0.25279136707393302</v>
      </c>
      <c r="M6" s="6">
        <v>0.28898047122246701</v>
      </c>
      <c r="O6" s="5" t="s">
        <v>15</v>
      </c>
      <c r="P6" s="6">
        <v>0.34665472163088701</v>
      </c>
    </row>
    <row r="7" spans="1:16" ht="12.3" x14ac:dyDescent="0.4">
      <c r="A7" s="5" t="s">
        <v>16</v>
      </c>
      <c r="B7" s="6">
        <v>0.585404649096948</v>
      </c>
      <c r="C7" s="6">
        <v>0.43466102569959703</v>
      </c>
      <c r="D7" s="6">
        <v>0.43192968577353003</v>
      </c>
      <c r="E7" s="6">
        <v>0.42931665457645302</v>
      </c>
      <c r="F7" s="6">
        <v>0.38516539303841402</v>
      </c>
      <c r="G7" s="6">
        <v>0.50740516991162499</v>
      </c>
      <c r="H7" s="6">
        <v>0.29513126891782498</v>
      </c>
      <c r="I7" s="6">
        <v>0.53625335330305102</v>
      </c>
      <c r="J7" s="6">
        <v>0.50654520521076096</v>
      </c>
      <c r="K7" s="6">
        <v>0.54265419629825395</v>
      </c>
      <c r="L7" s="6">
        <v>0.56602542886982699</v>
      </c>
      <c r="M7" s="6">
        <v>0.50526777798958</v>
      </c>
      <c r="O7" s="5" t="s">
        <v>16</v>
      </c>
      <c r="P7" s="6">
        <v>0.50654520521076096</v>
      </c>
    </row>
    <row r="8" spans="1:16" ht="14.4" x14ac:dyDescent="0.55000000000000004">
      <c r="A8" s="5" t="s">
        <v>17</v>
      </c>
      <c r="B8" s="7">
        <v>0.43057000000000001</v>
      </c>
      <c r="C8" s="7">
        <v>0.37518600000000002</v>
      </c>
      <c r="D8" s="7">
        <v>0.37482199999999999</v>
      </c>
      <c r="E8" s="7">
        <v>0.40242099999999997</v>
      </c>
      <c r="F8" s="7">
        <v>0.30031200000000002</v>
      </c>
      <c r="G8" s="7">
        <v>0.206067</v>
      </c>
      <c r="H8" s="7">
        <v>0.37687599999999999</v>
      </c>
      <c r="I8" s="7">
        <v>0.50551900000000005</v>
      </c>
      <c r="J8" s="7">
        <v>0.48280499999999998</v>
      </c>
      <c r="K8" s="7">
        <v>0.412796</v>
      </c>
      <c r="L8" s="7">
        <v>0.39316800000000002</v>
      </c>
      <c r="M8" s="7">
        <v>0.32176199999999999</v>
      </c>
      <c r="O8" s="5" t="s">
        <v>17</v>
      </c>
      <c r="P8" s="7">
        <v>0.48280499999999998</v>
      </c>
    </row>
    <row r="9" spans="1:16" ht="12.3" x14ac:dyDescent="0.4">
      <c r="A9" s="5" t="s">
        <v>18</v>
      </c>
      <c r="B9" s="6">
        <v>0.43341822150738302</v>
      </c>
      <c r="C9" s="6">
        <v>0.48755074710835999</v>
      </c>
      <c r="D9" s="6">
        <v>0.41787300425477403</v>
      </c>
      <c r="E9" s="6">
        <v>0.51408600416207895</v>
      </c>
      <c r="F9" s="6">
        <v>0.42587598447171998</v>
      </c>
      <c r="G9" s="6">
        <v>0.379594529123847</v>
      </c>
      <c r="H9" s="6">
        <v>0.60209877082952801</v>
      </c>
      <c r="I9" s="6">
        <v>0.60516523423292501</v>
      </c>
      <c r="J9" s="6">
        <v>0.63269951896955701</v>
      </c>
      <c r="K9" s="6">
        <v>0.42904632702234702</v>
      </c>
      <c r="L9" s="6">
        <v>0.48403610056781399</v>
      </c>
      <c r="M9" s="6">
        <v>0.56585697347747899</v>
      </c>
      <c r="O9" s="5" t="s">
        <v>18</v>
      </c>
      <c r="P9" s="6">
        <v>0.63269951896955701</v>
      </c>
    </row>
    <row r="10" spans="1:16" ht="14.4" x14ac:dyDescent="0.55000000000000004">
      <c r="A10" s="5" t="s">
        <v>19</v>
      </c>
      <c r="B10" s="7">
        <v>0.59593799999999997</v>
      </c>
      <c r="C10" s="7">
        <v>0.47907699999999998</v>
      </c>
      <c r="D10" s="7">
        <v>0.43598799999999999</v>
      </c>
      <c r="E10" s="7">
        <v>0.37124600000000002</v>
      </c>
      <c r="F10" s="7">
        <v>0.41147899999999998</v>
      </c>
      <c r="G10" s="7">
        <v>0.39490500000000001</v>
      </c>
      <c r="H10" s="7">
        <v>0.58116599999999996</v>
      </c>
      <c r="I10" s="7">
        <v>0.63449900000000004</v>
      </c>
      <c r="J10" s="7">
        <v>0.644451</v>
      </c>
      <c r="K10" s="7">
        <v>0.53356899999999996</v>
      </c>
      <c r="L10" s="7">
        <v>0.55482399999999998</v>
      </c>
      <c r="M10" s="7">
        <v>0.64329199999999997</v>
      </c>
      <c r="O10" s="5" t="s">
        <v>19</v>
      </c>
      <c r="P10" s="7">
        <v>0.644451</v>
      </c>
    </row>
    <row r="11" spans="1:16" ht="14.4" x14ac:dyDescent="0.55000000000000004">
      <c r="A11" s="8" t="s">
        <v>100</v>
      </c>
      <c r="B11" s="7">
        <v>0.52657900000000002</v>
      </c>
      <c r="C11" s="7">
        <v>0</v>
      </c>
      <c r="D11" s="7">
        <v>0.42979400000000001</v>
      </c>
      <c r="E11" s="7">
        <v>0.47319</v>
      </c>
      <c r="F11" s="7">
        <v>0.40460800000000002</v>
      </c>
      <c r="G11" s="7">
        <v>0.38750800000000002</v>
      </c>
      <c r="H11" s="9">
        <v>0.59926000000000001</v>
      </c>
      <c r="I11" s="7">
        <v>0.62194000000000005</v>
      </c>
      <c r="J11" s="7">
        <v>0.66126600000000002</v>
      </c>
      <c r="K11" s="9">
        <v>0.59170599999999995</v>
      </c>
      <c r="L11" s="9">
        <v>0.47311300000000001</v>
      </c>
      <c r="M11" s="7">
        <v>0.63705999999999996</v>
      </c>
      <c r="O11" s="8" t="s">
        <v>100</v>
      </c>
      <c r="P11" s="7">
        <v>0.66126600000000002</v>
      </c>
    </row>
    <row r="12" spans="1:16" ht="14.4" x14ac:dyDescent="0.55000000000000004">
      <c r="A12" s="10" t="s">
        <v>106</v>
      </c>
      <c r="B12" s="11">
        <v>0.31903399999999998</v>
      </c>
      <c r="C12" s="11">
        <v>0.33743600000000001</v>
      </c>
      <c r="D12" s="11">
        <v>0.38785999999999998</v>
      </c>
      <c r="E12" s="11">
        <v>0.451764</v>
      </c>
      <c r="F12" s="11">
        <v>0.43754700000000002</v>
      </c>
      <c r="G12" s="11">
        <v>0.35050700000000001</v>
      </c>
      <c r="H12" s="11">
        <v>0.64410400000000001</v>
      </c>
      <c r="I12" s="11">
        <v>0.64088100000000003</v>
      </c>
      <c r="J12" s="11">
        <v>0.60730600000000001</v>
      </c>
      <c r="K12" s="11">
        <v>0.439805</v>
      </c>
      <c r="L12" s="11">
        <v>0.47137400000000002</v>
      </c>
      <c r="M12" s="11">
        <v>0.47849700000000001</v>
      </c>
      <c r="O12" s="10" t="s">
        <v>106</v>
      </c>
      <c r="P12" s="11">
        <v>0.60730600000000001</v>
      </c>
    </row>
    <row r="13" spans="1:16" ht="14.4" x14ac:dyDescent="0.55000000000000004">
      <c r="A13" s="10" t="s">
        <v>107</v>
      </c>
      <c r="B13" s="11">
        <v>0.54800099999999996</v>
      </c>
      <c r="C13" s="11">
        <v>0.41398600000000002</v>
      </c>
      <c r="D13" s="11">
        <v>0.47389100000000001</v>
      </c>
      <c r="E13" s="11">
        <v>0.60303799999999996</v>
      </c>
      <c r="F13" s="11">
        <v>0.406393</v>
      </c>
      <c r="G13" s="11">
        <v>0.385745</v>
      </c>
      <c r="H13" s="11">
        <v>0.607155</v>
      </c>
      <c r="I13" s="11">
        <v>0.591692</v>
      </c>
      <c r="J13" s="11">
        <v>0.62080800000000003</v>
      </c>
      <c r="K13" s="11">
        <v>0.46113999999999999</v>
      </c>
      <c r="L13" s="11">
        <v>0.57724900000000001</v>
      </c>
      <c r="M13" s="11">
        <v>0.63368899999999995</v>
      </c>
      <c r="O13" s="10" t="s">
        <v>107</v>
      </c>
      <c r="P13" s="11">
        <v>0.62080800000000003</v>
      </c>
    </row>
    <row r="14" spans="1:16" ht="14.4" x14ac:dyDescent="0.55000000000000004">
      <c r="A14" s="10" t="s">
        <v>108</v>
      </c>
      <c r="B14" s="11">
        <v>9.5880000000000007E-2</v>
      </c>
      <c r="C14" s="11">
        <v>0.166939</v>
      </c>
      <c r="D14" s="11">
        <v>0.15069099999999999</v>
      </c>
      <c r="E14" s="11">
        <v>0.14662</v>
      </c>
      <c r="F14" s="11">
        <v>0.17141899999999999</v>
      </c>
      <c r="G14" s="11">
        <v>0.138987</v>
      </c>
      <c r="H14" s="11">
        <v>0.17618600000000001</v>
      </c>
      <c r="I14" s="11">
        <v>6.9237000000000007E-2</v>
      </c>
      <c r="J14" s="11">
        <v>6.4295000000000005E-2</v>
      </c>
      <c r="K14" s="11">
        <v>0.11880400000000001</v>
      </c>
      <c r="L14" s="11">
        <v>0.11852500000000001</v>
      </c>
      <c r="M14" s="11">
        <v>0.13002</v>
      </c>
      <c r="O14" s="10" t="s">
        <v>108</v>
      </c>
      <c r="P14" s="11">
        <v>6.4295000000000005E-2</v>
      </c>
    </row>
    <row r="15" spans="1:16" ht="14.4" x14ac:dyDescent="0.55000000000000004">
      <c r="A15" s="10" t="s">
        <v>109</v>
      </c>
      <c r="B15" s="11">
        <v>0.13065499999999999</v>
      </c>
      <c r="C15" s="11">
        <v>0.16766500000000001</v>
      </c>
      <c r="D15" s="11">
        <v>0.16031699999999999</v>
      </c>
      <c r="E15" s="11">
        <v>0.15262200000000001</v>
      </c>
      <c r="F15" s="11">
        <v>0.10676099999999999</v>
      </c>
      <c r="G15" s="11">
        <v>0.20189499999999999</v>
      </c>
      <c r="H15" s="11">
        <v>0.13755000000000001</v>
      </c>
      <c r="I15" s="11">
        <v>9.9644999999999997E-2</v>
      </c>
      <c r="J15" s="11">
        <v>0.18057699999999999</v>
      </c>
      <c r="K15" s="11">
        <v>0.22972000000000001</v>
      </c>
      <c r="L15" s="11">
        <v>0.122875</v>
      </c>
      <c r="M15" s="11">
        <v>0.219109</v>
      </c>
      <c r="O15" s="10" t="s">
        <v>109</v>
      </c>
      <c r="P15" s="11">
        <v>0.18057699999999999</v>
      </c>
    </row>
    <row r="16" spans="1:16" ht="14.4" x14ac:dyDescent="0.55000000000000004">
      <c r="A16" s="10" t="s">
        <v>110</v>
      </c>
      <c r="B16" s="11">
        <v>0.135189</v>
      </c>
      <c r="C16" s="11">
        <v>0.16394</v>
      </c>
      <c r="D16" s="11">
        <v>0.15063399999999999</v>
      </c>
      <c r="E16" s="11">
        <v>0.13905899999999999</v>
      </c>
      <c r="F16" s="11">
        <v>0.156775</v>
      </c>
      <c r="G16" s="11">
        <v>0.153277</v>
      </c>
      <c r="H16" s="11">
        <v>8.5948999999999998E-2</v>
      </c>
      <c r="I16" s="11">
        <v>1.4813E-2</v>
      </c>
      <c r="J16" s="11">
        <v>0.134302</v>
      </c>
      <c r="K16" s="11">
        <v>0.13140099999999999</v>
      </c>
      <c r="L16" s="11">
        <v>0.14218600000000001</v>
      </c>
      <c r="M16" s="11">
        <v>0.12195300000000001</v>
      </c>
      <c r="O16" s="10" t="s">
        <v>110</v>
      </c>
      <c r="P16" s="11">
        <v>0.134302</v>
      </c>
    </row>
    <row r="17" spans="1:46" ht="14.4" x14ac:dyDescent="0.55000000000000004">
      <c r="A17" s="10" t="s">
        <v>111</v>
      </c>
      <c r="B17" s="12">
        <v>0.16128799999999999</v>
      </c>
      <c r="C17" s="12">
        <v>0.16831299999999999</v>
      </c>
      <c r="D17" s="12">
        <v>0.156723</v>
      </c>
      <c r="E17" s="12">
        <v>0.15137600000000001</v>
      </c>
      <c r="F17" s="12">
        <v>0.183368</v>
      </c>
      <c r="G17" s="12">
        <v>0.172849</v>
      </c>
      <c r="H17" s="12">
        <v>0.15840499999999999</v>
      </c>
      <c r="I17" s="12">
        <v>0.162551</v>
      </c>
      <c r="J17" s="12">
        <v>0.241228</v>
      </c>
      <c r="K17" s="13">
        <v>0.205261</v>
      </c>
      <c r="L17" s="13">
        <v>0.161385</v>
      </c>
      <c r="M17" s="13">
        <v>0.152755</v>
      </c>
      <c r="O17" s="10" t="s">
        <v>111</v>
      </c>
      <c r="P17" s="12">
        <v>0.241228</v>
      </c>
    </row>
    <row r="18" spans="1:46" ht="14.4" x14ac:dyDescent="0.55000000000000004">
      <c r="A18" s="14" t="s">
        <v>112</v>
      </c>
      <c r="B18" s="12">
        <v>0.47873599999999999</v>
      </c>
      <c r="C18" s="12">
        <v>0.33334900000000001</v>
      </c>
      <c r="D18" s="12">
        <v>0.44914500000000002</v>
      </c>
      <c r="E18" s="12">
        <v>0.49819400000000003</v>
      </c>
      <c r="F18" s="12">
        <v>0.54228200000000004</v>
      </c>
      <c r="G18" s="12">
        <v>0.38065599999999999</v>
      </c>
      <c r="H18" s="12">
        <v>0.58910399999999996</v>
      </c>
      <c r="I18" s="12">
        <v>0.59336199999999995</v>
      </c>
      <c r="J18" s="12">
        <v>0.60202500000000003</v>
      </c>
      <c r="K18" s="12">
        <v>0.444046</v>
      </c>
      <c r="L18" s="12">
        <v>0.41503800000000002</v>
      </c>
      <c r="M18" s="12">
        <v>0.41827199999999998</v>
      </c>
      <c r="O18" s="14" t="s">
        <v>112</v>
      </c>
      <c r="P18" s="12">
        <v>0.60202500000000003</v>
      </c>
    </row>
    <row r="19" spans="1:46" ht="14.4" x14ac:dyDescent="0.55000000000000004">
      <c r="A19" s="15" t="s">
        <v>113</v>
      </c>
      <c r="B19" s="12">
        <v>0.203983</v>
      </c>
      <c r="C19" s="12">
        <v>0.23699400000000001</v>
      </c>
      <c r="D19" s="12">
        <v>7.6691999999999996E-2</v>
      </c>
      <c r="E19" s="12">
        <v>8.1236000000000003E-2</v>
      </c>
      <c r="F19" s="12">
        <v>-2.164E-2</v>
      </c>
      <c r="G19" s="12">
        <v>0.327824</v>
      </c>
      <c r="H19" s="12">
        <v>0.56433</v>
      </c>
      <c r="I19" s="12">
        <v>0.59923400000000004</v>
      </c>
      <c r="J19" s="12">
        <v>0.18057699999999999</v>
      </c>
      <c r="K19" s="12">
        <v>0.32062499999999999</v>
      </c>
      <c r="L19" s="12">
        <v>0.28939900000000002</v>
      </c>
      <c r="M19" s="12">
        <v>0.29688500000000001</v>
      </c>
      <c r="O19" s="15" t="s">
        <v>113</v>
      </c>
      <c r="P19" s="12">
        <v>0.18057699999999999</v>
      </c>
    </row>
    <row r="20" spans="1:46" ht="14.4" x14ac:dyDescent="0.55000000000000004">
      <c r="A20" s="16" t="s">
        <v>114</v>
      </c>
      <c r="B20" s="12">
        <v>0.52093699999999998</v>
      </c>
      <c r="C20" s="12">
        <v>0.48976599999999998</v>
      </c>
      <c r="D20" s="12">
        <v>0.46866999999999998</v>
      </c>
      <c r="E20" s="12">
        <v>0.41810900000000001</v>
      </c>
      <c r="F20" s="12">
        <v>0.31986999999999999</v>
      </c>
      <c r="G20" s="12">
        <v>0.39448699999999998</v>
      </c>
      <c r="H20" s="12">
        <v>0.54814499999999999</v>
      </c>
      <c r="I20" s="12">
        <v>0.61077300000000001</v>
      </c>
      <c r="J20" s="12">
        <v>0.44026300000000002</v>
      </c>
      <c r="K20" s="12">
        <v>0.427315</v>
      </c>
      <c r="L20" s="12">
        <v>0.46379700000000001</v>
      </c>
      <c r="M20" s="12">
        <v>0.63714599999999999</v>
      </c>
      <c r="O20" s="16" t="s">
        <v>114</v>
      </c>
      <c r="P20" s="12">
        <v>0.44026300000000002</v>
      </c>
    </row>
    <row r="21" spans="1:46" ht="14.4" x14ac:dyDescent="0.55000000000000004">
      <c r="A21" s="8" t="s">
        <v>115</v>
      </c>
      <c r="B21" s="12">
        <v>0.49482500000000001</v>
      </c>
      <c r="C21" s="12">
        <v>0.32907900000000001</v>
      </c>
      <c r="D21" s="12">
        <v>0.49924600000000002</v>
      </c>
      <c r="E21" s="17">
        <v>0.516791</v>
      </c>
      <c r="F21" s="12">
        <v>0.32839499999999999</v>
      </c>
      <c r="G21" s="12">
        <v>0.37195099999999998</v>
      </c>
      <c r="H21" s="13">
        <v>0.60343199999999997</v>
      </c>
      <c r="I21" s="13">
        <v>0.615815</v>
      </c>
      <c r="J21" s="13">
        <v>0.654034</v>
      </c>
      <c r="K21" s="13">
        <v>0.58416199999999996</v>
      </c>
      <c r="L21" s="13">
        <v>0.55085099999999998</v>
      </c>
      <c r="M21" s="18">
        <v>0.52450699999999995</v>
      </c>
      <c r="O21" s="8" t="s">
        <v>115</v>
      </c>
      <c r="P21" s="13">
        <v>0.654034</v>
      </c>
    </row>
    <row r="22" spans="1:46" ht="14.4" x14ac:dyDescent="0.55000000000000004">
      <c r="A22" s="10" t="s">
        <v>20</v>
      </c>
      <c r="B22" s="12">
        <v>0.47131000000000001</v>
      </c>
      <c r="C22" s="12">
        <v>0.397422</v>
      </c>
      <c r="D22" s="12">
        <v>0.48116199999999998</v>
      </c>
      <c r="E22" s="12">
        <v>0.383963</v>
      </c>
      <c r="F22" s="12">
        <v>0.394563</v>
      </c>
      <c r="G22" s="12">
        <v>0.37726900000000002</v>
      </c>
      <c r="H22" s="12">
        <v>0.46800700000000001</v>
      </c>
      <c r="I22" s="12">
        <v>0.733985</v>
      </c>
      <c r="J22" s="12">
        <v>0.66135299999999997</v>
      </c>
      <c r="K22" s="12">
        <v>0.54572600000000004</v>
      </c>
      <c r="L22" s="12">
        <v>0.45666600000000002</v>
      </c>
      <c r="M22" s="12">
        <v>0.42496299999999998</v>
      </c>
      <c r="O22" s="10" t="s">
        <v>20</v>
      </c>
      <c r="P22" s="12">
        <v>0.66135299999999997</v>
      </c>
    </row>
    <row r="23" spans="1:46" ht="14.4" x14ac:dyDescent="0.55000000000000004">
      <c r="A23" s="8" t="s">
        <v>21</v>
      </c>
      <c r="B23" s="17">
        <v>0.40696199999999999</v>
      </c>
      <c r="C23" s="19">
        <v>0.415877</v>
      </c>
      <c r="D23" s="17">
        <v>0.531725</v>
      </c>
      <c r="E23" s="12">
        <v>0.31445899999999999</v>
      </c>
      <c r="F23" s="12">
        <v>0.33756199999999997</v>
      </c>
      <c r="G23" s="17">
        <v>0.374357</v>
      </c>
      <c r="H23" s="12">
        <v>0.43853300000000001</v>
      </c>
      <c r="I23" s="12">
        <v>0.59107699999999996</v>
      </c>
      <c r="J23" s="17">
        <v>0.67424700000000004</v>
      </c>
      <c r="K23" s="12">
        <v>0.36371500000000001</v>
      </c>
      <c r="L23" s="12">
        <v>0.33943299999999998</v>
      </c>
      <c r="M23" s="12">
        <v>0.21218799999999999</v>
      </c>
      <c r="O23" s="8" t="s">
        <v>21</v>
      </c>
      <c r="P23" s="17">
        <v>0.67424700000000004</v>
      </c>
    </row>
    <row r="24" spans="1:46" ht="14.4" x14ac:dyDescent="0.55000000000000004">
      <c r="A24" s="8" t="s">
        <v>22</v>
      </c>
      <c r="B24" s="12">
        <v>0.32301400000000002</v>
      </c>
      <c r="C24" s="12">
        <v>0.34066600000000002</v>
      </c>
      <c r="D24" s="12">
        <v>0.48981400000000003</v>
      </c>
      <c r="E24" s="12">
        <v>0.34084399999999998</v>
      </c>
      <c r="F24" s="17">
        <v>0.42769299999999999</v>
      </c>
      <c r="G24" s="12">
        <v>0.28515200000000002</v>
      </c>
      <c r="H24" s="12">
        <v>0.82827099999999998</v>
      </c>
      <c r="I24" s="17">
        <v>0.51103600000000005</v>
      </c>
      <c r="J24" s="12">
        <v>0.43251299999999998</v>
      </c>
      <c r="K24" s="12">
        <v>0.29630800000000002</v>
      </c>
      <c r="L24" s="12">
        <v>0.48085099999999997</v>
      </c>
      <c r="M24" s="12">
        <v>0.239229</v>
      </c>
      <c r="O24" s="8" t="s">
        <v>22</v>
      </c>
      <c r="P24" s="12">
        <v>0.43251299999999998</v>
      </c>
    </row>
    <row r="25" spans="1:46" ht="14.4" x14ac:dyDescent="0.55000000000000004">
      <c r="A25" s="20" t="s">
        <v>99</v>
      </c>
      <c r="B25" s="21">
        <v>0.40696199999999999</v>
      </c>
      <c r="C25" s="22">
        <v>0.415877</v>
      </c>
      <c r="D25" s="22">
        <v>0.531725</v>
      </c>
      <c r="E25" s="22">
        <v>0.516791</v>
      </c>
      <c r="F25" s="22">
        <v>0.42769299999999999</v>
      </c>
      <c r="G25" s="22">
        <v>0.374357</v>
      </c>
      <c r="H25" s="21">
        <v>0.59926000000000001</v>
      </c>
      <c r="I25" s="21">
        <v>0.51103600000000005</v>
      </c>
      <c r="J25" s="21">
        <v>0.67424700000000004</v>
      </c>
      <c r="K25" s="21">
        <v>0.59170599999999995</v>
      </c>
      <c r="L25" s="21">
        <v>0.47311300000000001</v>
      </c>
      <c r="M25" s="21">
        <v>0.52450699999999995</v>
      </c>
      <c r="O25" s="20" t="s">
        <v>99</v>
      </c>
      <c r="P25" s="21">
        <v>0.67424700000000004</v>
      </c>
    </row>
    <row r="26" spans="1:46" ht="14.4" x14ac:dyDescent="0.55000000000000004">
      <c r="A26" s="20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46" ht="14.4" x14ac:dyDescent="0.55000000000000004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46" ht="14.4" x14ac:dyDescent="0.55000000000000004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46" ht="14.4" x14ac:dyDescent="0.55000000000000004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46" ht="14.4" x14ac:dyDescent="0.55000000000000004">
      <c r="A30" s="10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46" ht="30.3" x14ac:dyDescent="1">
      <c r="A31" s="23" t="s">
        <v>23</v>
      </c>
      <c r="B31" s="6"/>
      <c r="C31" s="6"/>
      <c r="D31" s="6"/>
      <c r="E31" s="6"/>
      <c r="F31" s="7"/>
      <c r="G31" s="6"/>
      <c r="H31" s="7"/>
    </row>
    <row r="32" spans="1:46" ht="15.75" customHeight="1" x14ac:dyDescent="0.4">
      <c r="AT32" s="46" t="s">
        <v>98</v>
      </c>
    </row>
    <row r="33" spans="1:14" ht="15" x14ac:dyDescent="0.5">
      <c r="A33" s="2" t="s">
        <v>1</v>
      </c>
      <c r="B33" s="3" t="s">
        <v>2</v>
      </c>
      <c r="C33" s="3" t="s">
        <v>3</v>
      </c>
      <c r="D33" s="3" t="s">
        <v>4</v>
      </c>
      <c r="E33" s="3" t="s">
        <v>5</v>
      </c>
      <c r="F33" s="3" t="s">
        <v>6</v>
      </c>
      <c r="G33" s="3" t="s">
        <v>7</v>
      </c>
      <c r="H33" s="3" t="s">
        <v>8</v>
      </c>
      <c r="I33" s="3" t="s">
        <v>9</v>
      </c>
      <c r="J33" s="3" t="s">
        <v>10</v>
      </c>
      <c r="K33" s="3" t="s">
        <v>11</v>
      </c>
      <c r="L33" s="3" t="s">
        <v>12</v>
      </c>
      <c r="M33" s="4">
        <v>151676</v>
      </c>
    </row>
    <row r="34" spans="1:14" ht="12.3" x14ac:dyDescent="0.4">
      <c r="A34" s="5" t="s">
        <v>13</v>
      </c>
      <c r="B34" s="6">
        <v>0.41706973756784599</v>
      </c>
      <c r="C34" s="6">
        <v>0.49885036263728599</v>
      </c>
      <c r="D34" s="6">
        <v>0.61113214583523701</v>
      </c>
      <c r="E34" s="6">
        <v>0.50272828160081195</v>
      </c>
      <c r="F34" s="6">
        <v>0.56667581808553302</v>
      </c>
      <c r="G34" s="6">
        <v>0.45647666549058002</v>
      </c>
      <c r="H34" s="6">
        <v>0.572282301300573</v>
      </c>
      <c r="I34" s="6">
        <v>0.59439902720712401</v>
      </c>
      <c r="J34" s="6">
        <v>0.66062845494113098</v>
      </c>
      <c r="K34" s="6">
        <v>0.64569221433163804</v>
      </c>
      <c r="L34" s="6">
        <v>0.58156027415112899</v>
      </c>
      <c r="M34" s="6">
        <v>0.55201118521304604</v>
      </c>
      <c r="N34" s="41">
        <f>SUM(B34:M34)</f>
        <v>6.6595064683619354</v>
      </c>
    </row>
    <row r="35" spans="1:14" ht="12.3" x14ac:dyDescent="0.4">
      <c r="A35" s="5" t="s">
        <v>14</v>
      </c>
      <c r="B35" s="6">
        <v>0.64517388888419402</v>
      </c>
      <c r="C35" s="6">
        <v>0.58568763821429903</v>
      </c>
      <c r="D35" s="6">
        <v>0.636452802441696</v>
      </c>
      <c r="E35" s="6">
        <v>0.60911419118185695</v>
      </c>
      <c r="F35" s="6">
        <v>0.54894527519188896</v>
      </c>
      <c r="G35" s="6">
        <v>0.52742797956930698</v>
      </c>
      <c r="H35" s="6">
        <v>0.65446553955639797</v>
      </c>
      <c r="I35" s="6">
        <v>0.63688360125757004</v>
      </c>
      <c r="J35" s="6">
        <v>0.70901546723116904</v>
      </c>
      <c r="K35" s="6">
        <v>0.60063174126610896</v>
      </c>
      <c r="L35" s="6">
        <v>0.67141692669946895</v>
      </c>
      <c r="M35" s="6">
        <v>0.67256372918963103</v>
      </c>
      <c r="N35" s="41">
        <f t="shared" ref="N35:N54" si="0">SUM(B35:M35)</f>
        <v>7.4977787806835883</v>
      </c>
    </row>
    <row r="36" spans="1:14" ht="12.3" x14ac:dyDescent="0.4">
      <c r="A36" s="5" t="s">
        <v>15</v>
      </c>
      <c r="B36" s="6">
        <v>0.46929840638718301</v>
      </c>
      <c r="C36" s="6">
        <v>0.41310900058544497</v>
      </c>
      <c r="D36" s="6">
        <v>0.39797721904861799</v>
      </c>
      <c r="E36" s="6">
        <v>0.38062571208344798</v>
      </c>
      <c r="F36" s="6">
        <v>0.43167892256946699</v>
      </c>
      <c r="G36" s="6">
        <v>0.37757426007105999</v>
      </c>
      <c r="H36" s="6">
        <v>0.41799724345016098</v>
      </c>
      <c r="I36" s="6">
        <v>0.44076971317519598</v>
      </c>
      <c r="J36" s="6">
        <v>0.49827841230305497</v>
      </c>
      <c r="K36" s="6">
        <v>0.443379824078736</v>
      </c>
      <c r="L36" s="6">
        <v>0.38350549377748899</v>
      </c>
      <c r="M36" s="6">
        <v>0.4145961202415</v>
      </c>
      <c r="N36" s="41">
        <f t="shared" si="0"/>
        <v>5.0687903277713575</v>
      </c>
    </row>
    <row r="37" spans="1:14" ht="12.3" x14ac:dyDescent="0.4">
      <c r="A37" s="5" t="s">
        <v>16</v>
      </c>
      <c r="B37" s="6">
        <v>0.68734566603352798</v>
      </c>
      <c r="C37" s="6">
        <v>0.58000512751177002</v>
      </c>
      <c r="D37" s="6">
        <v>0.59008573277785303</v>
      </c>
      <c r="E37" s="6">
        <v>0.58556857796247397</v>
      </c>
      <c r="F37" s="6">
        <v>0.55058461806702497</v>
      </c>
      <c r="G37" s="6">
        <v>0.639837902609947</v>
      </c>
      <c r="H37" s="6">
        <v>0.45725112366452703</v>
      </c>
      <c r="I37" s="6">
        <v>0.65688237513101499</v>
      </c>
      <c r="J37" s="6">
        <v>0.62824373821623003</v>
      </c>
      <c r="K37" s="6">
        <v>0.67026256676663598</v>
      </c>
      <c r="L37" s="6">
        <v>0.67398270711731501</v>
      </c>
      <c r="M37" s="6">
        <v>0.62755660400356195</v>
      </c>
      <c r="N37" s="41">
        <f t="shared" si="0"/>
        <v>7.347606739861881</v>
      </c>
    </row>
    <row r="38" spans="1:14" ht="14.4" x14ac:dyDescent="0.55000000000000004">
      <c r="A38" s="5" t="s">
        <v>17</v>
      </c>
      <c r="B38" s="7">
        <v>0.54142199999999996</v>
      </c>
      <c r="C38" s="7">
        <v>0.50452200000000003</v>
      </c>
      <c r="D38" s="7">
        <v>0.53961000000000003</v>
      </c>
      <c r="E38" s="7">
        <v>0.55938500000000002</v>
      </c>
      <c r="F38" s="7">
        <v>0.45294899999999999</v>
      </c>
      <c r="G38" s="7">
        <v>0.43862099999999998</v>
      </c>
      <c r="H38" s="7">
        <v>0.56400700000000004</v>
      </c>
      <c r="I38" s="7">
        <v>0.60863299999999998</v>
      </c>
      <c r="J38" s="7">
        <v>0.62631499999999996</v>
      </c>
      <c r="K38" s="7">
        <v>0.52862900000000002</v>
      </c>
      <c r="L38" s="7">
        <v>0.50239100000000003</v>
      </c>
      <c r="M38" s="7">
        <v>0.50408299999999995</v>
      </c>
      <c r="N38" s="41">
        <f t="shared" si="0"/>
        <v>6.3705670000000003</v>
      </c>
    </row>
    <row r="39" spans="1:14" ht="12.3" x14ac:dyDescent="0.4">
      <c r="A39" s="5" t="s">
        <v>18</v>
      </c>
      <c r="B39" s="6">
        <v>0.64946875406839499</v>
      </c>
      <c r="C39" s="6">
        <v>0.64357453974384904</v>
      </c>
      <c r="D39" s="6">
        <v>0.62259072971385998</v>
      </c>
      <c r="E39" s="6">
        <v>0.65180942786099605</v>
      </c>
      <c r="F39" s="6">
        <v>0.596296759994977</v>
      </c>
      <c r="G39" s="6">
        <v>0.54962545286133602</v>
      </c>
      <c r="H39" s="6">
        <v>0.71898669483911404</v>
      </c>
      <c r="I39" s="6">
        <v>0.70393896222989105</v>
      </c>
      <c r="J39" s="6">
        <v>0.73245789767748504</v>
      </c>
      <c r="K39" s="6">
        <v>0.61435260234483502</v>
      </c>
      <c r="L39" s="6">
        <v>0.618645199037829</v>
      </c>
      <c r="M39" s="6">
        <v>0.65704174390812897</v>
      </c>
      <c r="N39" s="41">
        <f t="shared" si="0"/>
        <v>7.7587887642806965</v>
      </c>
    </row>
    <row r="40" spans="1:14" ht="14.4" x14ac:dyDescent="0.55000000000000004">
      <c r="A40" s="5" t="s">
        <v>19</v>
      </c>
      <c r="B40" s="7">
        <v>0.69353799999999999</v>
      </c>
      <c r="C40" s="7">
        <v>0.58291800000000005</v>
      </c>
      <c r="D40" s="7">
        <v>0.61853899999999995</v>
      </c>
      <c r="E40" s="7">
        <v>0.53911799999999999</v>
      </c>
      <c r="F40" s="7">
        <v>0.61810600000000004</v>
      </c>
      <c r="G40" s="7">
        <v>0.57267199999999996</v>
      </c>
      <c r="H40" s="7">
        <v>0.68634300000000004</v>
      </c>
      <c r="I40" s="7">
        <v>0.71264899999999998</v>
      </c>
      <c r="J40" s="7">
        <v>0.69526200000000005</v>
      </c>
      <c r="K40" s="7">
        <v>0.66358899999999998</v>
      </c>
      <c r="L40" s="7">
        <v>0.63737500000000002</v>
      </c>
      <c r="M40" s="7">
        <v>0.695469</v>
      </c>
      <c r="N40" s="41">
        <f t="shared" si="0"/>
        <v>7.7155779999999998</v>
      </c>
    </row>
    <row r="41" spans="1:14" ht="14.4" x14ac:dyDescent="0.55000000000000004">
      <c r="A41" s="8" t="s">
        <v>100</v>
      </c>
      <c r="B41" s="13">
        <v>0.67</v>
      </c>
      <c r="C41" s="13">
        <v>0</v>
      </c>
      <c r="D41" s="13">
        <v>0.62</v>
      </c>
      <c r="E41" s="13">
        <v>0.61</v>
      </c>
      <c r="F41" s="13">
        <v>0.57999999999999996</v>
      </c>
      <c r="G41" s="13">
        <v>0.56999999999999995</v>
      </c>
      <c r="H41" s="13">
        <v>0.69</v>
      </c>
      <c r="I41" s="12">
        <v>0.68</v>
      </c>
      <c r="J41" s="12">
        <v>0.73</v>
      </c>
      <c r="K41" s="12">
        <v>0.69</v>
      </c>
      <c r="L41" s="12">
        <v>0.62</v>
      </c>
      <c r="M41" s="12">
        <v>0.69</v>
      </c>
      <c r="N41" s="41">
        <f t="shared" si="0"/>
        <v>7.15</v>
      </c>
    </row>
    <row r="42" spans="1:14" ht="14.4" x14ac:dyDescent="0.55000000000000004">
      <c r="A42" s="10" t="s">
        <v>106</v>
      </c>
      <c r="B42" s="13">
        <v>0.52151700000000001</v>
      </c>
      <c r="C42" s="13">
        <v>0.57371300000000003</v>
      </c>
      <c r="D42" s="13">
        <v>0.57292399999999999</v>
      </c>
      <c r="E42" s="13">
        <v>0.59476899999999999</v>
      </c>
      <c r="F42" s="13">
        <v>0.60464600000000002</v>
      </c>
      <c r="G42" s="13">
        <v>0.55809500000000001</v>
      </c>
      <c r="H42" s="13">
        <v>0.71435599999999999</v>
      </c>
      <c r="I42" s="12">
        <v>0.69172800000000001</v>
      </c>
      <c r="J42" s="12">
        <v>0.69874000000000003</v>
      </c>
      <c r="K42" s="12">
        <v>0.64642500000000003</v>
      </c>
      <c r="L42" s="12">
        <v>0.65209799999999996</v>
      </c>
      <c r="M42" s="12">
        <v>0.59092</v>
      </c>
      <c r="N42" s="41">
        <f t="shared" si="0"/>
        <v>7.4199309999999992</v>
      </c>
    </row>
    <row r="43" spans="1:14" ht="14.4" x14ac:dyDescent="0.55000000000000004">
      <c r="A43" s="10" t="s">
        <v>107</v>
      </c>
      <c r="B43" s="13">
        <v>0.656362</v>
      </c>
      <c r="C43" s="13">
        <v>0.55319300000000005</v>
      </c>
      <c r="D43" s="13">
        <v>0.62390699999999999</v>
      </c>
      <c r="E43" s="13">
        <v>0.64648899999999998</v>
      </c>
      <c r="F43" s="13">
        <v>0.61388100000000001</v>
      </c>
      <c r="G43" s="13">
        <v>0.56691899999999995</v>
      </c>
      <c r="H43" s="13">
        <v>0.70767199999999997</v>
      </c>
      <c r="I43" s="12">
        <v>0.67542800000000003</v>
      </c>
      <c r="J43" s="12">
        <v>0.69468099999999999</v>
      </c>
      <c r="K43" s="12">
        <v>0.63199300000000003</v>
      </c>
      <c r="L43" s="12">
        <v>0.665273</v>
      </c>
      <c r="M43" s="12">
        <v>0.69140900000000005</v>
      </c>
      <c r="N43" s="41">
        <f t="shared" si="0"/>
        <v>7.7272070000000008</v>
      </c>
    </row>
    <row r="44" spans="1:14" ht="14.4" x14ac:dyDescent="0.55000000000000004">
      <c r="A44" s="10" t="s">
        <v>108</v>
      </c>
      <c r="B44" s="13">
        <v>0.15554100000000001</v>
      </c>
      <c r="C44" s="13">
        <v>0.23236299999999999</v>
      </c>
      <c r="D44" s="13">
        <v>0.22800999999999999</v>
      </c>
      <c r="E44" s="13">
        <v>0.20679800000000001</v>
      </c>
      <c r="F44" s="13">
        <v>0.13306899999999999</v>
      </c>
      <c r="G44" s="13">
        <v>0.131413</v>
      </c>
      <c r="H44" s="13">
        <v>0.19732</v>
      </c>
      <c r="I44" s="12">
        <v>0.18326600000000001</v>
      </c>
      <c r="J44" s="12">
        <v>0.25445299999999998</v>
      </c>
      <c r="K44" s="12">
        <v>0.30268899999999999</v>
      </c>
      <c r="L44" s="12">
        <v>0.221743</v>
      </c>
      <c r="M44" s="12">
        <v>0.26608999999999999</v>
      </c>
      <c r="N44" s="41">
        <f t="shared" si="0"/>
        <v>2.5127550000000003</v>
      </c>
    </row>
    <row r="45" spans="1:14" ht="14.4" x14ac:dyDescent="0.55000000000000004">
      <c r="A45" s="10" t="s">
        <v>109</v>
      </c>
      <c r="B45" s="13">
        <v>0.19406300000000001</v>
      </c>
      <c r="C45" s="13">
        <v>0.23508799999999999</v>
      </c>
      <c r="D45" s="13">
        <v>0.22040999999999999</v>
      </c>
      <c r="E45" s="13">
        <v>0.21484600000000001</v>
      </c>
      <c r="F45" s="13">
        <v>0.12667900000000001</v>
      </c>
      <c r="G45" s="13">
        <v>0.156581</v>
      </c>
      <c r="H45" s="13">
        <v>0.20998800000000001</v>
      </c>
      <c r="I45" s="12">
        <v>0.276036</v>
      </c>
      <c r="J45" s="12">
        <v>0.34403</v>
      </c>
      <c r="K45" s="12">
        <v>0.33760600000000002</v>
      </c>
      <c r="L45" s="12">
        <v>0.23163900000000001</v>
      </c>
      <c r="M45" s="12">
        <v>0.320938</v>
      </c>
      <c r="N45" s="41">
        <f t="shared" si="0"/>
        <v>2.8679039999999998</v>
      </c>
    </row>
    <row r="46" spans="1:14" ht="14.4" x14ac:dyDescent="0.55000000000000004">
      <c r="A46" s="10" t="s">
        <v>110</v>
      </c>
      <c r="B46" s="13">
        <v>0.19376299999999999</v>
      </c>
      <c r="C46" s="13">
        <v>0.22910800000000001</v>
      </c>
      <c r="D46" s="13">
        <v>0.22659000000000001</v>
      </c>
      <c r="E46" s="13">
        <v>0.21043400000000001</v>
      </c>
      <c r="F46" s="13">
        <v>0.13147</v>
      </c>
      <c r="G46" s="13">
        <v>0.14480399999999999</v>
      </c>
      <c r="H46" s="13">
        <v>0.17736499999999999</v>
      </c>
      <c r="I46" s="12">
        <v>0.151896</v>
      </c>
      <c r="J46" s="12">
        <v>0.31126999999999999</v>
      </c>
      <c r="K46" s="12">
        <v>0.26622499999999999</v>
      </c>
      <c r="L46" s="12">
        <v>0.25258599999999998</v>
      </c>
      <c r="M46" s="12">
        <v>0.25338100000000002</v>
      </c>
      <c r="N46" s="41">
        <f t="shared" si="0"/>
        <v>2.5488919999999999</v>
      </c>
    </row>
    <row r="47" spans="1:14" ht="14.4" x14ac:dyDescent="0.55000000000000004">
      <c r="A47" s="10" t="s">
        <v>111</v>
      </c>
      <c r="B47" s="13">
        <v>0.24448600000000001</v>
      </c>
      <c r="C47" s="13">
        <v>0.23711199999999999</v>
      </c>
      <c r="D47" s="13">
        <v>0.25026500000000002</v>
      </c>
      <c r="E47" s="13">
        <v>0.21207899999999999</v>
      </c>
      <c r="F47" s="13">
        <v>0.140157</v>
      </c>
      <c r="G47" s="13">
        <v>0.17543400000000001</v>
      </c>
      <c r="H47" s="13">
        <v>0.23296500000000001</v>
      </c>
      <c r="I47" s="12">
        <v>0.28715299999999999</v>
      </c>
      <c r="J47" s="12">
        <v>0.36125600000000002</v>
      </c>
      <c r="K47" s="12">
        <v>0.31811099999999998</v>
      </c>
      <c r="L47" s="12">
        <v>0.25869399999999998</v>
      </c>
      <c r="M47" s="12">
        <v>0.29810999999999999</v>
      </c>
      <c r="N47" s="41">
        <f t="shared" si="0"/>
        <v>3.0158220000000004</v>
      </c>
    </row>
    <row r="48" spans="1:14" ht="14.4" x14ac:dyDescent="0.55000000000000004">
      <c r="A48" s="14" t="s">
        <v>112</v>
      </c>
      <c r="B48" s="13">
        <v>0.63378699999999999</v>
      </c>
      <c r="C48" s="13">
        <v>0.57152899999999995</v>
      </c>
      <c r="D48" s="13">
        <v>0.62237699999999996</v>
      </c>
      <c r="E48" s="13">
        <v>0.62958800000000004</v>
      </c>
      <c r="F48" s="13">
        <v>0.66152500000000003</v>
      </c>
      <c r="G48" s="13">
        <v>0.56854400000000005</v>
      </c>
      <c r="H48" s="13">
        <v>0.68274599999999996</v>
      </c>
      <c r="I48" s="12">
        <v>0.67180799999999996</v>
      </c>
      <c r="J48" s="12">
        <v>0.71032600000000001</v>
      </c>
      <c r="K48" s="12">
        <v>0.61065599999999998</v>
      </c>
      <c r="L48" s="12">
        <v>0.61752399999999996</v>
      </c>
      <c r="M48" s="12">
        <v>0.58826999999999996</v>
      </c>
      <c r="N48" s="41">
        <f t="shared" si="0"/>
        <v>7.5686800000000005</v>
      </c>
    </row>
    <row r="49" spans="1:14" ht="14.4" x14ac:dyDescent="0.55000000000000004">
      <c r="A49" s="15" t="s">
        <v>113</v>
      </c>
      <c r="B49" s="13">
        <v>0.30848500000000001</v>
      </c>
      <c r="C49" s="13">
        <v>0.34568500000000002</v>
      </c>
      <c r="D49" s="13">
        <v>0.142038</v>
      </c>
      <c r="E49" s="13">
        <v>0.19362499999999999</v>
      </c>
      <c r="F49" s="13">
        <v>6.0062999999999998E-2</v>
      </c>
      <c r="G49" s="13">
        <v>0.45187500000000003</v>
      </c>
      <c r="H49" s="13">
        <v>0.68623599999999996</v>
      </c>
      <c r="I49" s="12">
        <v>0.68746099999999999</v>
      </c>
      <c r="J49" s="12">
        <v>0.34403</v>
      </c>
      <c r="K49" s="12">
        <v>0.42710100000000001</v>
      </c>
      <c r="L49" s="12">
        <v>0.40674199999999999</v>
      </c>
      <c r="M49" s="12">
        <v>0.39013700000000001</v>
      </c>
      <c r="N49" s="41">
        <f t="shared" si="0"/>
        <v>4.4434779999999998</v>
      </c>
    </row>
    <row r="50" spans="1:14" ht="14.4" x14ac:dyDescent="0.55000000000000004">
      <c r="A50" s="16" t="s">
        <v>114</v>
      </c>
      <c r="B50" s="13">
        <v>0.64673499999999995</v>
      </c>
      <c r="C50" s="13">
        <v>0.64744999999999997</v>
      </c>
      <c r="D50" s="13">
        <v>0.61230700000000005</v>
      </c>
      <c r="E50" s="13">
        <v>0.60348500000000005</v>
      </c>
      <c r="F50" s="13">
        <v>0.52908599999999995</v>
      </c>
      <c r="G50" s="13">
        <v>0.57211599999999996</v>
      </c>
      <c r="H50" s="13">
        <v>0.66663499999999998</v>
      </c>
      <c r="I50" s="12">
        <v>0.68091000000000002</v>
      </c>
      <c r="J50" s="12">
        <v>0.61582000000000003</v>
      </c>
      <c r="K50" s="12">
        <v>0.59239699999999995</v>
      </c>
      <c r="L50" s="12">
        <v>0.61530499999999999</v>
      </c>
      <c r="M50" s="12">
        <v>0.69180399999999997</v>
      </c>
      <c r="N50" s="41">
        <f t="shared" si="0"/>
        <v>7.474050000000001</v>
      </c>
    </row>
    <row r="51" spans="1:14" ht="14.4" x14ac:dyDescent="0.55000000000000004">
      <c r="A51" s="8" t="s">
        <v>115</v>
      </c>
      <c r="B51" s="13">
        <v>0.65122000000000002</v>
      </c>
      <c r="C51" s="13">
        <v>0.56614500000000001</v>
      </c>
      <c r="D51" s="13">
        <v>0.63583800000000001</v>
      </c>
      <c r="E51" s="13">
        <v>0.61068199999999995</v>
      </c>
      <c r="F51" s="13">
        <v>0.53338700000000006</v>
      </c>
      <c r="G51" s="13">
        <v>0.56458900000000001</v>
      </c>
      <c r="H51" s="13">
        <v>0.70862999999999998</v>
      </c>
      <c r="I51" s="12">
        <v>0.68164899999999995</v>
      </c>
      <c r="J51" s="12">
        <v>0.72949600000000003</v>
      </c>
      <c r="K51" s="12">
        <v>0.67899200000000004</v>
      </c>
      <c r="L51" s="12">
        <v>0.65246099999999996</v>
      </c>
      <c r="M51" s="12">
        <v>0.63671299999999997</v>
      </c>
      <c r="N51" s="41">
        <f t="shared" si="0"/>
        <v>7.6498020000000011</v>
      </c>
    </row>
    <row r="52" spans="1:14" ht="14.4" x14ac:dyDescent="0.55000000000000004">
      <c r="A52" s="10" t="s">
        <v>20</v>
      </c>
      <c r="B52" s="13">
        <v>0.62802000000000002</v>
      </c>
      <c r="C52" s="13">
        <v>0.54088800000000004</v>
      </c>
      <c r="D52" s="13">
        <v>0.635714</v>
      </c>
      <c r="E52" s="13">
        <v>0.548508</v>
      </c>
      <c r="F52" s="13">
        <v>0.59578200000000003</v>
      </c>
      <c r="G52" s="13">
        <v>0.56464700000000001</v>
      </c>
      <c r="H52" s="13">
        <v>0.66737899999999994</v>
      </c>
      <c r="I52" s="12">
        <v>0.712588</v>
      </c>
      <c r="J52" s="12">
        <v>0.73515799999999998</v>
      </c>
      <c r="K52" s="12">
        <v>0.67955100000000002</v>
      </c>
      <c r="L52" s="12">
        <v>0.59660999999999997</v>
      </c>
      <c r="M52" s="12">
        <v>0.57184400000000002</v>
      </c>
      <c r="N52" s="41">
        <f t="shared" si="0"/>
        <v>7.4766890000000004</v>
      </c>
    </row>
    <row r="53" spans="1:14" ht="14.4" x14ac:dyDescent="0.55000000000000004">
      <c r="A53" s="8" t="s">
        <v>21</v>
      </c>
      <c r="B53" s="13">
        <v>0.59545999999999999</v>
      </c>
      <c r="C53" s="13">
        <v>0.48091800000000001</v>
      </c>
      <c r="D53" s="13">
        <v>0.60616099999999995</v>
      </c>
      <c r="E53" s="13">
        <v>0.40491500000000002</v>
      </c>
      <c r="F53" s="13">
        <v>0.54816799999999999</v>
      </c>
      <c r="G53" s="13">
        <v>0.53537199999999996</v>
      </c>
      <c r="H53" s="13">
        <v>0.59308000000000005</v>
      </c>
      <c r="I53" s="12">
        <v>0.67866800000000005</v>
      </c>
      <c r="J53" s="12">
        <v>0.73592199999999997</v>
      </c>
      <c r="K53" s="12">
        <v>0.55491800000000002</v>
      </c>
      <c r="L53" s="12">
        <v>0.50549999999999995</v>
      </c>
      <c r="M53" s="12">
        <v>0.40882499999999999</v>
      </c>
      <c r="N53" s="41">
        <f t="shared" si="0"/>
        <v>6.6479070000000009</v>
      </c>
    </row>
    <row r="54" spans="1:14" ht="14.4" x14ac:dyDescent="0.55000000000000004">
      <c r="A54" s="8" t="s">
        <v>22</v>
      </c>
      <c r="B54" s="13">
        <v>0.44930999999999999</v>
      </c>
      <c r="C54" s="13">
        <v>0.56072699999999998</v>
      </c>
      <c r="D54" s="13">
        <v>0.61905699999999997</v>
      </c>
      <c r="E54" s="13">
        <v>0.484736</v>
      </c>
      <c r="F54" s="13">
        <v>0.60612200000000005</v>
      </c>
      <c r="G54" s="13">
        <v>0.44596400000000003</v>
      </c>
      <c r="H54" s="13">
        <v>0.77068300000000001</v>
      </c>
      <c r="I54" s="12">
        <v>0.60786499999999999</v>
      </c>
      <c r="J54" s="12">
        <v>0.62121300000000002</v>
      </c>
      <c r="K54" s="12">
        <v>0.49480200000000002</v>
      </c>
      <c r="L54" s="12">
        <v>0.62732100000000002</v>
      </c>
      <c r="M54" s="12">
        <v>0.38572099999999998</v>
      </c>
      <c r="N54" s="41">
        <f t="shared" si="0"/>
        <v>6.6735210000000009</v>
      </c>
    </row>
    <row r="55" spans="1:14" ht="14.4" x14ac:dyDescent="0.55000000000000004">
      <c r="A55" s="8" t="s">
        <v>99</v>
      </c>
      <c r="B55" s="13">
        <v>0.59545999999999999</v>
      </c>
      <c r="C55" s="13">
        <v>0.48091800000000001</v>
      </c>
      <c r="D55" s="13">
        <v>0.60616099999999995</v>
      </c>
      <c r="E55" s="13">
        <v>0.61068199999999995</v>
      </c>
      <c r="F55" s="13">
        <v>0.60612200000000005</v>
      </c>
      <c r="G55" s="13">
        <v>0.53537199999999996</v>
      </c>
      <c r="H55" s="13">
        <v>0.69</v>
      </c>
      <c r="I55" s="12">
        <v>0.60786499999999999</v>
      </c>
      <c r="J55" s="12">
        <v>0.73592199999999997</v>
      </c>
      <c r="K55" s="12">
        <v>0.69</v>
      </c>
      <c r="L55" s="12">
        <v>0.62</v>
      </c>
      <c r="M55" s="12">
        <v>0.63671299999999997</v>
      </c>
      <c r="N55" s="41"/>
    </row>
    <row r="56" spans="1:14" ht="14.4" x14ac:dyDescent="0.55000000000000004">
      <c r="A56" s="25" t="s">
        <v>30</v>
      </c>
      <c r="B56" s="13"/>
      <c r="C56" s="13"/>
      <c r="D56" s="13"/>
      <c r="E56" s="13"/>
      <c r="F56" s="13"/>
      <c r="G56" s="13"/>
      <c r="H56" s="13"/>
      <c r="I56" s="12"/>
      <c r="J56" s="12"/>
      <c r="K56" s="12"/>
      <c r="L56" s="12"/>
      <c r="M56" s="12"/>
    </row>
    <row r="57" spans="1:14" ht="14.4" x14ac:dyDescent="0.55000000000000004">
      <c r="A57" s="25" t="s">
        <v>31</v>
      </c>
      <c r="B57" s="13"/>
      <c r="C57" s="13"/>
      <c r="D57" s="13"/>
      <c r="E57" s="13"/>
      <c r="F57" s="13"/>
      <c r="G57" s="13"/>
      <c r="H57" s="13"/>
      <c r="I57" s="12"/>
      <c r="J57" s="12"/>
      <c r="K57" s="12"/>
      <c r="L57" s="12"/>
      <c r="M57" s="12"/>
    </row>
    <row r="58" spans="1:14" ht="14.4" x14ac:dyDescent="0.55000000000000004">
      <c r="A58" s="25"/>
      <c r="B58" s="13"/>
      <c r="C58" s="13"/>
      <c r="D58" s="13"/>
      <c r="E58" s="13"/>
      <c r="F58" s="13"/>
      <c r="G58" s="13"/>
      <c r="H58" s="13"/>
      <c r="I58" s="12"/>
      <c r="J58" s="12"/>
      <c r="K58" s="12"/>
      <c r="L58" s="12"/>
      <c r="M58" s="12"/>
    </row>
    <row r="59" spans="1:14" ht="14.4" x14ac:dyDescent="0.55000000000000004">
      <c r="A59" s="25"/>
      <c r="B59" s="13"/>
      <c r="C59" s="13"/>
      <c r="D59" s="13"/>
      <c r="E59" s="13"/>
      <c r="F59" s="13"/>
      <c r="G59" s="13"/>
      <c r="H59" s="13"/>
      <c r="I59" s="12"/>
      <c r="J59" s="12"/>
      <c r="K59" s="12"/>
      <c r="L59" s="12"/>
      <c r="M59" s="12"/>
    </row>
    <row r="60" spans="1:14" ht="14.4" x14ac:dyDescent="0.55000000000000004">
      <c r="A60" s="25"/>
      <c r="B60" s="13"/>
      <c r="C60" s="13"/>
      <c r="D60" s="13"/>
      <c r="E60" s="13"/>
      <c r="F60" s="13"/>
      <c r="G60" s="13"/>
      <c r="H60" s="13"/>
      <c r="I60" s="12"/>
      <c r="J60" s="12"/>
      <c r="K60" s="12"/>
      <c r="L60" s="12"/>
      <c r="M60" s="12"/>
    </row>
    <row r="61" spans="1:14" ht="14.4" x14ac:dyDescent="0.55000000000000004">
      <c r="A61" s="25"/>
      <c r="B61" s="13"/>
      <c r="C61" s="13"/>
      <c r="D61" s="13"/>
      <c r="E61" s="13"/>
      <c r="F61" s="13"/>
      <c r="G61" s="13"/>
      <c r="H61" s="13"/>
      <c r="I61" s="12"/>
      <c r="J61" s="12"/>
      <c r="K61" s="12"/>
      <c r="L61" s="12"/>
      <c r="M61" s="12"/>
    </row>
    <row r="62" spans="1:14" ht="14.4" x14ac:dyDescent="0.55000000000000004">
      <c r="A62" s="25"/>
      <c r="B62" s="13"/>
      <c r="C62" s="13"/>
      <c r="D62" s="13"/>
      <c r="E62" s="13"/>
      <c r="F62" s="13"/>
      <c r="G62" s="13"/>
      <c r="H62" s="13"/>
      <c r="I62" s="12"/>
      <c r="J62" s="12"/>
      <c r="K62" s="12"/>
      <c r="L62" s="12"/>
      <c r="M62" s="12"/>
    </row>
    <row r="63" spans="1:14" ht="14.4" x14ac:dyDescent="0.55000000000000004">
      <c r="A63" s="25"/>
      <c r="B63" s="13"/>
      <c r="C63" s="13"/>
      <c r="D63" s="13"/>
      <c r="E63" s="13"/>
      <c r="F63" s="13"/>
      <c r="G63" s="13"/>
      <c r="H63" s="13"/>
      <c r="I63" s="12"/>
      <c r="J63" s="12"/>
      <c r="K63" s="12"/>
      <c r="L63" s="12"/>
      <c r="M63" s="12"/>
    </row>
    <row r="64" spans="1:14" ht="30.3" x14ac:dyDescent="1">
      <c r="A64" s="26" t="s">
        <v>32</v>
      </c>
      <c r="B64" s="6"/>
      <c r="C64" s="6"/>
      <c r="D64" s="6"/>
      <c r="E64" s="6"/>
      <c r="F64" s="7"/>
      <c r="G64" s="6"/>
      <c r="H64" s="7"/>
    </row>
    <row r="65" spans="1:14" ht="15.3" x14ac:dyDescent="0.55000000000000004">
      <c r="A65" s="27"/>
      <c r="B65" s="6"/>
      <c r="C65" s="6"/>
      <c r="D65" s="6"/>
      <c r="E65" s="6"/>
      <c r="F65" s="7"/>
      <c r="G65" s="6"/>
      <c r="H65" s="7"/>
    </row>
    <row r="66" spans="1:14" ht="15" x14ac:dyDescent="0.5">
      <c r="A66" s="28" t="s">
        <v>1</v>
      </c>
      <c r="B66" s="3" t="s">
        <v>2</v>
      </c>
      <c r="C66" s="3" t="s">
        <v>3</v>
      </c>
      <c r="D66" s="3" t="s">
        <v>4</v>
      </c>
      <c r="E66" s="3" t="s">
        <v>5</v>
      </c>
      <c r="F66" s="3" t="s">
        <v>6</v>
      </c>
      <c r="G66" s="3" t="s">
        <v>7</v>
      </c>
      <c r="H66" s="3" t="s">
        <v>8</v>
      </c>
      <c r="I66" s="3" t="s">
        <v>9</v>
      </c>
      <c r="J66" s="3" t="s">
        <v>10</v>
      </c>
      <c r="K66" s="3" t="s">
        <v>11</v>
      </c>
      <c r="L66" s="3" t="s">
        <v>12</v>
      </c>
      <c r="M66" s="4">
        <v>151676</v>
      </c>
      <c r="N66" s="3" t="s">
        <v>97</v>
      </c>
    </row>
    <row r="67" spans="1:14" ht="12.3" x14ac:dyDescent="0.4">
      <c r="A67" s="5" t="s">
        <v>13</v>
      </c>
      <c r="B67" s="6">
        <v>0.41586463065011098</v>
      </c>
      <c r="C67" s="6">
        <v>0.51257158443258199</v>
      </c>
      <c r="D67" s="6">
        <v>0.65548259763568695</v>
      </c>
      <c r="E67" s="6">
        <v>0.54065153994743198</v>
      </c>
      <c r="F67" s="6">
        <v>0.68428902098616595</v>
      </c>
      <c r="G67" s="6">
        <v>0.60346422512134001</v>
      </c>
      <c r="H67" s="6">
        <v>0.66588905199685999</v>
      </c>
      <c r="I67" s="6">
        <v>0.68778915619292402</v>
      </c>
      <c r="J67" s="6">
        <v>0.67156086603399701</v>
      </c>
      <c r="K67" s="6">
        <v>0.64319184660338902</v>
      </c>
      <c r="L67" s="6">
        <v>0.58786189756305596</v>
      </c>
      <c r="M67" s="6">
        <v>0.56164036400603201</v>
      </c>
      <c r="N67" s="41">
        <f>SUM(B67:M67)</f>
        <v>7.2302567811695759</v>
      </c>
    </row>
    <row r="68" spans="1:14" ht="12.3" x14ac:dyDescent="0.4">
      <c r="A68" s="5" t="s">
        <v>14</v>
      </c>
      <c r="B68" s="6">
        <v>0.63907378217758803</v>
      </c>
      <c r="C68" s="6">
        <v>0.56530687133061697</v>
      </c>
      <c r="D68" s="6">
        <v>0.60631948013977999</v>
      </c>
      <c r="E68" s="6">
        <v>0.57326793897833905</v>
      </c>
      <c r="F68" s="6">
        <v>0.45643409368532001</v>
      </c>
      <c r="G68" s="6">
        <v>0.435169825274838</v>
      </c>
      <c r="H68" s="6">
        <v>0.58256595897740604</v>
      </c>
      <c r="I68" s="6">
        <v>0.57938365560042804</v>
      </c>
      <c r="J68" s="6">
        <v>0.69144483384877498</v>
      </c>
      <c r="K68" s="6">
        <v>0.61895991391611505</v>
      </c>
      <c r="L68" s="6">
        <v>0.66906102342657903</v>
      </c>
      <c r="M68" s="6">
        <v>0.66204912247802306</v>
      </c>
      <c r="N68" s="41">
        <f t="shared" ref="N68:N87" si="1">SUM(B68:M68)</f>
        <v>7.0790364998338076</v>
      </c>
    </row>
    <row r="69" spans="1:14" ht="12.3" x14ac:dyDescent="0.4">
      <c r="A69" s="5" t="s">
        <v>15</v>
      </c>
      <c r="B69" s="6">
        <v>0.45621382227020102</v>
      </c>
      <c r="C69" s="6">
        <v>0.39563518960715299</v>
      </c>
      <c r="D69" s="6">
        <v>0.36579974379945501</v>
      </c>
      <c r="E69" s="6">
        <v>0.34907745828236297</v>
      </c>
      <c r="F69" s="6">
        <v>0.356474623654153</v>
      </c>
      <c r="G69" s="6">
        <v>0.302582119365298</v>
      </c>
      <c r="H69" s="6">
        <v>0.361046850095191</v>
      </c>
      <c r="I69" s="6">
        <v>0.39721880663690701</v>
      </c>
      <c r="J69" s="6">
        <v>0.482374110709957</v>
      </c>
      <c r="K69" s="6">
        <v>0.43286671012342398</v>
      </c>
      <c r="L69" s="6">
        <v>0.376579335094404</v>
      </c>
      <c r="M69" s="6">
        <v>0.40548993886275603</v>
      </c>
      <c r="N69" s="41">
        <f t="shared" si="1"/>
        <v>4.6813587085012616</v>
      </c>
    </row>
    <row r="70" spans="1:14" ht="12.3" x14ac:dyDescent="0.4">
      <c r="A70" s="5" t="s">
        <v>16</v>
      </c>
      <c r="B70" s="6">
        <v>0.68704877728260905</v>
      </c>
      <c r="C70" s="6">
        <v>0.58090549023549398</v>
      </c>
      <c r="D70" s="6">
        <v>0.58819749008153399</v>
      </c>
      <c r="E70" s="6">
        <v>0.58409659883182896</v>
      </c>
      <c r="F70" s="6">
        <v>0.54229877938471804</v>
      </c>
      <c r="G70" s="6">
        <v>0.63719727857967101</v>
      </c>
      <c r="H70" s="6">
        <v>0.45629760243877099</v>
      </c>
      <c r="I70" s="6">
        <v>0.64859911460402397</v>
      </c>
      <c r="J70" s="6">
        <v>0.62536338505456501</v>
      </c>
      <c r="K70" s="6">
        <v>0.67009056086687602</v>
      </c>
      <c r="L70" s="6">
        <v>0.66818853697623903</v>
      </c>
      <c r="M70" s="6">
        <v>0.62400461425345299</v>
      </c>
      <c r="N70" s="41">
        <f t="shared" si="1"/>
        <v>7.3122882285897832</v>
      </c>
    </row>
    <row r="71" spans="1:14" ht="14.4" x14ac:dyDescent="0.55000000000000004">
      <c r="A71" s="5" t="s">
        <v>17</v>
      </c>
      <c r="B71" s="7">
        <v>0.56288899999999997</v>
      </c>
      <c r="C71" s="7">
        <v>0.49410700000000002</v>
      </c>
      <c r="D71" s="7">
        <v>0.51331199999999999</v>
      </c>
      <c r="E71" s="7">
        <v>0.52653000000000005</v>
      </c>
      <c r="F71" s="7">
        <v>0.40214100000000003</v>
      </c>
      <c r="G71" s="7">
        <v>0.34967500000000001</v>
      </c>
      <c r="H71" s="7">
        <v>0.48559400000000003</v>
      </c>
      <c r="I71" s="7">
        <v>0.55671899999999996</v>
      </c>
      <c r="J71" s="7">
        <v>0.60779300000000003</v>
      </c>
      <c r="K71" s="7">
        <v>0.51673400000000003</v>
      </c>
      <c r="L71" s="7">
        <v>0.49852999999999997</v>
      </c>
      <c r="M71" s="7">
        <v>0.50109400000000004</v>
      </c>
      <c r="N71" s="41">
        <f t="shared" si="1"/>
        <v>6.0151180000000002</v>
      </c>
    </row>
    <row r="72" spans="1:14" ht="12.3" x14ac:dyDescent="0.4">
      <c r="A72" s="5" t="s">
        <v>18</v>
      </c>
      <c r="B72" s="6">
        <v>0.67524747095747195</v>
      </c>
      <c r="C72" s="6">
        <v>0.64430453662751896</v>
      </c>
      <c r="D72" s="6">
        <v>0.62751400907948796</v>
      </c>
      <c r="E72" s="6">
        <v>0.65811862693442802</v>
      </c>
      <c r="F72" s="6">
        <v>0.51898924807611901</v>
      </c>
      <c r="G72" s="6">
        <v>0.46016533307467</v>
      </c>
      <c r="H72" s="6">
        <v>0.65072944267515798</v>
      </c>
      <c r="I72" s="6">
        <v>0.63975361337270498</v>
      </c>
      <c r="J72" s="6">
        <v>0.71720661737711899</v>
      </c>
      <c r="K72" s="6">
        <v>0.61437561524454898</v>
      </c>
      <c r="L72" s="6">
        <v>0.62379814428510705</v>
      </c>
      <c r="M72" s="6">
        <v>0.65162781434413497</v>
      </c>
      <c r="N72" s="41">
        <f t="shared" si="1"/>
        <v>7.4818304720484701</v>
      </c>
    </row>
    <row r="73" spans="1:14" ht="14.4" x14ac:dyDescent="0.55000000000000004">
      <c r="A73" s="5" t="s">
        <v>19</v>
      </c>
      <c r="B73" s="7">
        <v>0.70649499999999998</v>
      </c>
      <c r="C73" s="7">
        <v>0.59060400000000002</v>
      </c>
      <c r="D73" s="7">
        <v>0.65276100000000004</v>
      </c>
      <c r="E73" s="7">
        <v>0.59911899999999996</v>
      </c>
      <c r="F73" s="7">
        <v>0.52845699999999995</v>
      </c>
      <c r="G73" s="7">
        <v>0.48028599999999999</v>
      </c>
      <c r="H73" s="7">
        <v>0.61801099999999998</v>
      </c>
      <c r="I73" s="7">
        <v>0.72723300000000002</v>
      </c>
      <c r="J73" s="7">
        <v>0.64207199999999998</v>
      </c>
      <c r="K73" s="7">
        <v>0.65667500000000001</v>
      </c>
      <c r="L73" s="7">
        <v>0.63813900000000001</v>
      </c>
      <c r="M73" s="7">
        <v>0.71444600000000003</v>
      </c>
      <c r="N73" s="41">
        <f t="shared" si="1"/>
        <v>7.5542979999999993</v>
      </c>
    </row>
    <row r="74" spans="1:14" ht="14.4" x14ac:dyDescent="0.55000000000000004">
      <c r="A74" s="8" t="s">
        <v>100</v>
      </c>
      <c r="B74" s="12">
        <v>0.67</v>
      </c>
      <c r="C74" s="12">
        <v>0</v>
      </c>
      <c r="D74" s="12">
        <v>0.68</v>
      </c>
      <c r="E74" s="12">
        <v>0.8</v>
      </c>
      <c r="F74" s="12">
        <v>0.49</v>
      </c>
      <c r="G74" s="12">
        <v>0.48</v>
      </c>
      <c r="H74" s="12">
        <v>0.62</v>
      </c>
      <c r="I74" s="12">
        <v>0.65</v>
      </c>
      <c r="J74" s="12">
        <v>0.75</v>
      </c>
      <c r="K74" s="12">
        <v>0.7</v>
      </c>
      <c r="L74" s="12">
        <v>0.67</v>
      </c>
      <c r="M74" s="12">
        <v>0.72</v>
      </c>
      <c r="N74" s="41">
        <f t="shared" si="1"/>
        <v>7.23</v>
      </c>
    </row>
    <row r="75" spans="1:14" ht="14.4" x14ac:dyDescent="0.55000000000000004">
      <c r="A75" s="10" t="s">
        <v>106</v>
      </c>
      <c r="B75" s="12">
        <v>0.57173799999999997</v>
      </c>
      <c r="C75" s="12">
        <v>0.63519300000000001</v>
      </c>
      <c r="D75" s="12">
        <v>0.63287000000000004</v>
      </c>
      <c r="E75" s="12">
        <v>0.58661399999999997</v>
      </c>
      <c r="F75" s="12">
        <v>0.53629599999999999</v>
      </c>
      <c r="G75" s="12">
        <v>0.46827999999999997</v>
      </c>
      <c r="H75" s="12">
        <v>0.66095700000000002</v>
      </c>
      <c r="I75" s="12">
        <v>0.66037500000000005</v>
      </c>
      <c r="J75" s="12">
        <v>0.69900399999999996</v>
      </c>
      <c r="K75" s="12">
        <v>0.67390799999999995</v>
      </c>
      <c r="L75" s="12">
        <v>0.74329299999999998</v>
      </c>
      <c r="M75" s="12">
        <v>0.62640399999999996</v>
      </c>
      <c r="N75" s="41">
        <f t="shared" si="1"/>
        <v>7.4949320000000013</v>
      </c>
    </row>
    <row r="76" spans="1:14" ht="14.4" x14ac:dyDescent="0.55000000000000004">
      <c r="A76" s="10" t="s">
        <v>107</v>
      </c>
      <c r="B76" s="12">
        <v>0.66758499999999998</v>
      </c>
      <c r="C76" s="12">
        <v>0.59606499999999996</v>
      </c>
      <c r="D76" s="12">
        <v>0.68359099999999995</v>
      </c>
      <c r="E76" s="12">
        <v>0.70813099999999995</v>
      </c>
      <c r="F76" s="12">
        <v>0.52539199999999997</v>
      </c>
      <c r="G76" s="12">
        <v>0.47781699999999999</v>
      </c>
      <c r="H76" s="12">
        <v>0.64692899999999998</v>
      </c>
      <c r="I76" s="12">
        <v>0.64049</v>
      </c>
      <c r="J76" s="12">
        <v>0.73043800000000003</v>
      </c>
      <c r="K76" s="12">
        <v>0.69793300000000003</v>
      </c>
      <c r="L76" s="12">
        <v>0.70858100000000002</v>
      </c>
      <c r="M76" s="12">
        <v>0.72021599999999997</v>
      </c>
      <c r="N76" s="41">
        <f t="shared" si="1"/>
        <v>7.8031679999999994</v>
      </c>
    </row>
    <row r="77" spans="1:14" ht="14.4" x14ac:dyDescent="0.55000000000000004">
      <c r="A77" s="10" t="s">
        <v>108</v>
      </c>
      <c r="B77" s="12">
        <v>0.17144599999999999</v>
      </c>
      <c r="C77" s="12">
        <v>0.269654</v>
      </c>
      <c r="D77" s="12">
        <v>0.25430599999999998</v>
      </c>
      <c r="E77" s="12">
        <v>0.22289500000000001</v>
      </c>
      <c r="F77" s="12">
        <v>0.15204000000000001</v>
      </c>
      <c r="G77" s="12">
        <v>0.123958</v>
      </c>
      <c r="H77" s="12">
        <v>0.19853199999999999</v>
      </c>
      <c r="I77" s="12">
        <v>0.23965900000000001</v>
      </c>
      <c r="J77" s="12">
        <v>0.41692699999999999</v>
      </c>
      <c r="K77" s="12">
        <v>0.38755099999999998</v>
      </c>
      <c r="L77" s="12">
        <v>0.26798499999999997</v>
      </c>
      <c r="M77" s="12">
        <v>0.39785399999999999</v>
      </c>
      <c r="N77" s="41">
        <f t="shared" si="1"/>
        <v>3.1028070000000003</v>
      </c>
    </row>
    <row r="78" spans="1:14" ht="14.4" x14ac:dyDescent="0.55000000000000004">
      <c r="A78" s="10" t="s">
        <v>109</v>
      </c>
      <c r="B78" s="12">
        <v>0.23935899999999999</v>
      </c>
      <c r="C78" s="12">
        <v>0.27720699999999998</v>
      </c>
      <c r="D78" s="12">
        <v>0.290188</v>
      </c>
      <c r="E78" s="12">
        <v>0.22845199999999999</v>
      </c>
      <c r="F78" s="12">
        <v>0.12198299999999999</v>
      </c>
      <c r="G78" s="12">
        <v>0.18021499999999999</v>
      </c>
      <c r="H78" s="12">
        <v>0.20231299999999999</v>
      </c>
      <c r="I78" s="12">
        <v>0.34348299999999998</v>
      </c>
      <c r="J78" s="12">
        <v>0.415802</v>
      </c>
      <c r="K78" s="12">
        <v>0.38839000000000001</v>
      </c>
      <c r="L78" s="12">
        <v>0.28028900000000001</v>
      </c>
      <c r="M78" s="12">
        <v>0.364095</v>
      </c>
      <c r="N78" s="41">
        <f t="shared" si="1"/>
        <v>3.3317759999999996</v>
      </c>
    </row>
    <row r="79" spans="1:14" ht="14.4" x14ac:dyDescent="0.55000000000000004">
      <c r="A79" s="10" t="s">
        <v>110</v>
      </c>
      <c r="B79" s="12">
        <v>0.23514699999999999</v>
      </c>
      <c r="C79" s="12">
        <v>0.27084000000000003</v>
      </c>
      <c r="D79" s="12">
        <v>0.25236399999999998</v>
      </c>
      <c r="E79" s="12">
        <v>0.23296900000000001</v>
      </c>
      <c r="F79" s="12">
        <v>0.14285200000000001</v>
      </c>
      <c r="G79" s="12">
        <v>0.14450099999999999</v>
      </c>
      <c r="H79" s="12">
        <v>0.17391200000000001</v>
      </c>
      <c r="I79" s="12">
        <v>0.182555</v>
      </c>
      <c r="J79" s="12">
        <v>0.45984399999999997</v>
      </c>
      <c r="K79" s="12">
        <v>0.331513</v>
      </c>
      <c r="L79" s="12">
        <v>0.28993799999999997</v>
      </c>
      <c r="M79" s="12">
        <v>0.38000400000000001</v>
      </c>
      <c r="N79" s="41">
        <f t="shared" si="1"/>
        <v>3.0964390000000002</v>
      </c>
    </row>
    <row r="80" spans="1:14" ht="14.4" x14ac:dyDescent="0.55000000000000004">
      <c r="A80" s="10" t="s">
        <v>111</v>
      </c>
      <c r="B80" s="12">
        <v>0.26137700000000003</v>
      </c>
      <c r="C80" s="12">
        <v>0.278779</v>
      </c>
      <c r="D80" s="12">
        <v>0.274974</v>
      </c>
      <c r="E80" s="12">
        <v>0.22494900000000001</v>
      </c>
      <c r="F80" s="12">
        <v>0.15973599999999999</v>
      </c>
      <c r="G80" s="12">
        <v>0.20547399999999999</v>
      </c>
      <c r="H80" s="12">
        <v>0.22377900000000001</v>
      </c>
      <c r="I80" s="12">
        <v>0.29431200000000002</v>
      </c>
      <c r="J80" s="12">
        <v>0.44007400000000002</v>
      </c>
      <c r="K80" s="12">
        <v>0.377722</v>
      </c>
      <c r="L80" s="12">
        <v>0.28442499999999998</v>
      </c>
      <c r="M80" s="12">
        <v>0.33745399999999998</v>
      </c>
      <c r="N80" s="41">
        <f t="shared" si="1"/>
        <v>3.3630550000000001</v>
      </c>
    </row>
    <row r="81" spans="1:14" ht="14.4" x14ac:dyDescent="0.55000000000000004">
      <c r="A81" s="14" t="s">
        <v>112</v>
      </c>
      <c r="B81" s="12">
        <v>0.67319200000000001</v>
      </c>
      <c r="C81" s="12">
        <v>0.61879600000000001</v>
      </c>
      <c r="D81" s="12">
        <v>0.685446</v>
      </c>
      <c r="E81" s="12">
        <v>0.63146400000000003</v>
      </c>
      <c r="F81" s="12">
        <v>0.59867099999999995</v>
      </c>
      <c r="G81" s="12">
        <v>0.47853099999999998</v>
      </c>
      <c r="H81" s="12">
        <v>0.613958</v>
      </c>
      <c r="I81" s="12">
        <v>0.64029899999999995</v>
      </c>
      <c r="J81" s="12">
        <v>0.70317600000000002</v>
      </c>
      <c r="K81" s="12">
        <v>0.65834099999999995</v>
      </c>
      <c r="L81" s="12">
        <v>0.66155200000000003</v>
      </c>
      <c r="M81" s="12">
        <v>0.61504400000000004</v>
      </c>
      <c r="N81" s="41">
        <f t="shared" si="1"/>
        <v>7.5784700000000003</v>
      </c>
    </row>
    <row r="82" spans="1:14" ht="17.25" customHeight="1" x14ac:dyDescent="0.55000000000000004">
      <c r="A82" s="15" t="s">
        <v>113</v>
      </c>
      <c r="B82" s="12">
        <v>0.34351399999999999</v>
      </c>
      <c r="C82" s="12">
        <v>0.35993199999999997</v>
      </c>
      <c r="D82" s="12">
        <v>0.14312900000000001</v>
      </c>
      <c r="E82" s="12">
        <v>0.194748</v>
      </c>
      <c r="F82" s="12">
        <v>0.114028</v>
      </c>
      <c r="G82" s="12">
        <v>0.42572399999999999</v>
      </c>
      <c r="H82" s="12">
        <v>0.63812000000000002</v>
      </c>
      <c r="I82" s="12">
        <v>0.68112300000000003</v>
      </c>
      <c r="J82" s="12">
        <v>0.415802</v>
      </c>
      <c r="K82" s="12">
        <v>0.44541500000000001</v>
      </c>
      <c r="L82" s="12">
        <v>0.42944100000000002</v>
      </c>
      <c r="M82" s="12">
        <v>0.40102700000000002</v>
      </c>
      <c r="N82" s="41">
        <f t="shared" si="1"/>
        <v>4.5920030000000001</v>
      </c>
    </row>
    <row r="83" spans="1:14" ht="14.4" x14ac:dyDescent="0.55000000000000004">
      <c r="A83" s="16" t="s">
        <v>114</v>
      </c>
      <c r="B83" s="12">
        <v>0.67080600000000001</v>
      </c>
      <c r="C83" s="12">
        <v>0.65911299999999995</v>
      </c>
      <c r="D83" s="12">
        <v>0.62228499999999998</v>
      </c>
      <c r="E83" s="12">
        <v>0.617919</v>
      </c>
      <c r="F83" s="12">
        <v>0.477661</v>
      </c>
      <c r="G83" s="12">
        <v>0.48229</v>
      </c>
      <c r="H83" s="12">
        <v>0.59753800000000001</v>
      </c>
      <c r="I83" s="12">
        <v>0.64978400000000003</v>
      </c>
      <c r="J83" s="12">
        <v>0.708117</v>
      </c>
      <c r="K83" s="12">
        <v>0.60422699999999996</v>
      </c>
      <c r="L83" s="12">
        <v>0.670655</v>
      </c>
      <c r="M83" s="12">
        <v>0.72397699999999998</v>
      </c>
      <c r="N83" s="41">
        <f t="shared" si="1"/>
        <v>7.4843719999999987</v>
      </c>
    </row>
    <row r="84" spans="1:14" ht="14.4" x14ac:dyDescent="0.55000000000000004">
      <c r="A84" s="8" t="s">
        <v>115</v>
      </c>
      <c r="B84" s="12">
        <v>0.70731100000000002</v>
      </c>
      <c r="C84" s="12">
        <v>0.61575000000000002</v>
      </c>
      <c r="D84" s="12">
        <v>0.64814899999999998</v>
      </c>
      <c r="E84" s="12">
        <v>0.61091399999999996</v>
      </c>
      <c r="F84" s="12">
        <v>0.483379</v>
      </c>
      <c r="G84" s="12">
        <v>0.47376000000000001</v>
      </c>
      <c r="H84" s="12">
        <v>0.64707899999999996</v>
      </c>
      <c r="I84" s="12">
        <v>0.65229199999999998</v>
      </c>
      <c r="J84" s="12">
        <v>0.74643599999999999</v>
      </c>
      <c r="K84" s="12">
        <v>0.69286899999999996</v>
      </c>
      <c r="L84" s="12">
        <v>0.71200399999999997</v>
      </c>
      <c r="M84" s="12">
        <v>0.66294699999999995</v>
      </c>
      <c r="N84" s="41">
        <f t="shared" si="1"/>
        <v>7.6528900000000011</v>
      </c>
    </row>
    <row r="85" spans="1:14" ht="14.4" x14ac:dyDescent="0.55000000000000004">
      <c r="A85" s="10" t="s">
        <v>20</v>
      </c>
      <c r="B85" s="12">
        <v>0.66309600000000002</v>
      </c>
      <c r="C85" s="12">
        <v>0.58702299999999996</v>
      </c>
      <c r="D85" s="12">
        <v>0.63359900000000002</v>
      </c>
      <c r="E85" s="12">
        <v>0.60740300000000003</v>
      </c>
      <c r="F85" s="12">
        <v>0.520617</v>
      </c>
      <c r="G85" s="12">
        <v>0.47467999999999999</v>
      </c>
      <c r="H85" s="12">
        <v>0.58471399999999996</v>
      </c>
      <c r="I85" s="12">
        <v>0.70217799999999997</v>
      </c>
      <c r="J85" s="12">
        <v>0.75063899999999995</v>
      </c>
      <c r="K85" s="12">
        <v>0.69874400000000003</v>
      </c>
      <c r="L85" s="12">
        <v>0.65818100000000002</v>
      </c>
      <c r="M85" s="12">
        <v>0.59362599999999999</v>
      </c>
      <c r="N85" s="41">
        <f t="shared" si="1"/>
        <v>7.474499999999999</v>
      </c>
    </row>
    <row r="86" spans="1:14" ht="14.4" x14ac:dyDescent="0.55000000000000004">
      <c r="A86" s="8" t="s">
        <v>21</v>
      </c>
      <c r="B86" s="12">
        <v>0.67035599999999995</v>
      </c>
      <c r="C86" s="12">
        <v>0.51677499999999998</v>
      </c>
      <c r="D86" s="12">
        <v>0.63124199999999997</v>
      </c>
      <c r="E86" s="12">
        <v>0.41681600000000002</v>
      </c>
      <c r="F86" s="12">
        <v>0.49821500000000002</v>
      </c>
      <c r="G86" s="12">
        <v>0.45987</v>
      </c>
      <c r="H86" s="12">
        <v>0.60870999999999997</v>
      </c>
      <c r="I86" s="12">
        <v>0.65633900000000001</v>
      </c>
      <c r="J86" s="12">
        <v>0.75435600000000003</v>
      </c>
      <c r="K86" s="12">
        <v>0.63082300000000002</v>
      </c>
      <c r="L86" s="12">
        <v>0.57371099999999997</v>
      </c>
      <c r="M86" s="12">
        <v>0.48885000000000001</v>
      </c>
      <c r="N86" s="41">
        <f t="shared" si="1"/>
        <v>6.9060630000000005</v>
      </c>
    </row>
    <row r="87" spans="1:14" ht="14.4" x14ac:dyDescent="0.55000000000000004">
      <c r="A87" s="8" t="s">
        <v>22</v>
      </c>
      <c r="B87" s="12">
        <v>0.53165399999999996</v>
      </c>
      <c r="C87" s="12">
        <v>0.670099</v>
      </c>
      <c r="D87" s="12">
        <v>0.64307000000000003</v>
      </c>
      <c r="E87" s="12">
        <v>0.72606599999999999</v>
      </c>
      <c r="F87" s="12">
        <v>0.53928299999999996</v>
      </c>
      <c r="G87" s="12">
        <v>0.41153099999999998</v>
      </c>
      <c r="H87" s="12">
        <v>0.787296</v>
      </c>
      <c r="I87" s="12">
        <v>0.58750500000000005</v>
      </c>
      <c r="J87" s="12">
        <v>0.68689199999999995</v>
      </c>
      <c r="K87" s="12">
        <v>0.57091599999999998</v>
      </c>
      <c r="L87" s="12">
        <v>0.70518999999999998</v>
      </c>
      <c r="M87" s="12">
        <v>0.42257699999999998</v>
      </c>
      <c r="N87" s="41">
        <f t="shared" si="1"/>
        <v>7.2820790000000013</v>
      </c>
    </row>
    <row r="88" spans="1:14" ht="14.4" x14ac:dyDescent="0.55000000000000004">
      <c r="A88" s="25" t="s">
        <v>99</v>
      </c>
      <c r="B88" s="12">
        <v>0.67035599999999995</v>
      </c>
      <c r="C88" s="12">
        <v>0.51677499999999998</v>
      </c>
      <c r="D88" s="12">
        <v>0.63124199999999997</v>
      </c>
      <c r="E88" s="12">
        <v>0.61091399999999996</v>
      </c>
      <c r="F88" s="12">
        <v>0.53928299999999996</v>
      </c>
      <c r="G88" s="12">
        <v>0.45987</v>
      </c>
      <c r="H88" s="12">
        <v>0.62</v>
      </c>
      <c r="I88" s="12">
        <v>0.58750500000000005</v>
      </c>
      <c r="J88" s="12">
        <v>0.75435600000000003</v>
      </c>
      <c r="K88" s="12">
        <v>0.63082300000000002</v>
      </c>
      <c r="L88" s="12">
        <v>0.67</v>
      </c>
      <c r="M88" s="12">
        <v>0.66294699999999995</v>
      </c>
    </row>
    <row r="89" spans="1:14" ht="14.4" x14ac:dyDescent="0.55000000000000004">
      <c r="A89" s="25" t="s">
        <v>31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1:14" ht="14.4" x14ac:dyDescent="0.55000000000000004">
      <c r="A90" s="25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1:14" ht="14.4" x14ac:dyDescent="0.55000000000000004">
      <c r="A91" s="25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1:14" ht="14.4" x14ac:dyDescent="0.55000000000000004">
      <c r="A92" s="25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4" ht="14.4" x14ac:dyDescent="0.55000000000000004">
      <c r="A93" s="25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1:14" ht="14.4" x14ac:dyDescent="0.55000000000000004">
      <c r="A94" s="25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1:14" ht="14.4" x14ac:dyDescent="0.55000000000000004">
      <c r="A95" s="25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1:14" ht="30.3" x14ac:dyDescent="1">
      <c r="A96" s="26" t="s">
        <v>33</v>
      </c>
      <c r="B96" s="6"/>
      <c r="C96" s="6"/>
      <c r="D96" s="6"/>
      <c r="E96" s="6"/>
      <c r="F96" s="7"/>
      <c r="G96" s="6"/>
      <c r="H96" s="7"/>
    </row>
    <row r="97" spans="1:14" ht="12.3" x14ac:dyDescent="0.4">
      <c r="A97" s="24"/>
    </row>
    <row r="98" spans="1:14" ht="15" x14ac:dyDescent="0.5">
      <c r="A98" s="28" t="s">
        <v>1</v>
      </c>
      <c r="B98" s="3" t="s">
        <v>2</v>
      </c>
      <c r="C98" s="3" t="s">
        <v>3</v>
      </c>
      <c r="D98" s="3" t="s">
        <v>4</v>
      </c>
      <c r="E98" s="3" t="s">
        <v>5</v>
      </c>
      <c r="F98" s="3" t="s">
        <v>6</v>
      </c>
      <c r="G98" s="3" t="s">
        <v>7</v>
      </c>
      <c r="H98" s="3" t="s">
        <v>8</v>
      </c>
      <c r="I98" s="3" t="s">
        <v>9</v>
      </c>
      <c r="J98" s="3" t="s">
        <v>10</v>
      </c>
      <c r="K98" s="3" t="s">
        <v>11</v>
      </c>
      <c r="L98" s="3" t="s">
        <v>12</v>
      </c>
      <c r="M98" s="4">
        <v>151676</v>
      </c>
      <c r="N98" s="3" t="s">
        <v>97</v>
      </c>
    </row>
    <row r="99" spans="1:14" ht="12.3" x14ac:dyDescent="0.4">
      <c r="A99" s="5" t="s">
        <v>13</v>
      </c>
      <c r="B99" s="6">
        <v>0.41828184918509898</v>
      </c>
      <c r="C99" s="6">
        <v>0.48584460540972801</v>
      </c>
      <c r="D99" s="6">
        <v>0.57240292777471702</v>
      </c>
      <c r="E99" s="6">
        <v>0.469776458331782</v>
      </c>
      <c r="F99" s="6">
        <v>0.48356274521196901</v>
      </c>
      <c r="G99" s="6">
        <v>0.36706866826526702</v>
      </c>
      <c r="H99" s="6">
        <v>0.501749341782187</v>
      </c>
      <c r="I99" s="6">
        <v>0.52333851283722899</v>
      </c>
      <c r="J99" s="6">
        <v>0.65004628205956705</v>
      </c>
      <c r="K99" s="6">
        <v>0.64821209797037604</v>
      </c>
      <c r="L99" s="6">
        <v>0.57539231918643496</v>
      </c>
      <c r="M99" s="6">
        <v>0.54270662055500196</v>
      </c>
      <c r="N99" s="41">
        <f>SUM(B99:M99)</f>
        <v>6.2383824285693574</v>
      </c>
    </row>
    <row r="100" spans="1:14" ht="12.3" x14ac:dyDescent="0.4">
      <c r="A100" s="5" t="s">
        <v>14</v>
      </c>
      <c r="B100" s="6">
        <v>0.651391571734245</v>
      </c>
      <c r="C100" s="6">
        <v>0.60759292614909899</v>
      </c>
      <c r="D100" s="6">
        <v>0.66973794330294101</v>
      </c>
      <c r="E100" s="6">
        <v>0.64974236353731096</v>
      </c>
      <c r="F100" s="6">
        <v>0.68849014662198404</v>
      </c>
      <c r="G100" s="6">
        <v>0.66932904633443102</v>
      </c>
      <c r="H100" s="6">
        <v>0.74661140971352102</v>
      </c>
      <c r="I100" s="6">
        <v>0.70705397018174099</v>
      </c>
      <c r="J100" s="6">
        <v>0.72750237595766998</v>
      </c>
      <c r="K100" s="6">
        <v>0.58335779172106805</v>
      </c>
      <c r="L100" s="6">
        <v>0.673789479852684</v>
      </c>
      <c r="M100" s="6">
        <v>0.68341770995318796</v>
      </c>
      <c r="N100" s="41">
        <f t="shared" ref="N100:N119" si="2">SUM(B100:M100)</f>
        <v>8.0580167350598835</v>
      </c>
    </row>
    <row r="101" spans="1:14" ht="12.3" x14ac:dyDescent="0.4">
      <c r="A101" s="5" t="s">
        <v>15</v>
      </c>
      <c r="B101" s="6">
        <v>0.48315570567063998</v>
      </c>
      <c r="C101" s="6">
        <v>0.43219764632667401</v>
      </c>
      <c r="D101" s="6">
        <v>0.43636165355089002</v>
      </c>
      <c r="E101" s="6">
        <v>0.41844294715524</v>
      </c>
      <c r="F101" s="6">
        <v>0.54709853094264904</v>
      </c>
      <c r="G101" s="6">
        <v>0.50198704047946496</v>
      </c>
      <c r="H101" s="6">
        <v>0.49627867984360002</v>
      </c>
      <c r="I101" s="6">
        <v>0.49504639640838899</v>
      </c>
      <c r="J101" s="6">
        <v>0.515267229139029</v>
      </c>
      <c r="K101" s="6">
        <v>0.45441631733537202</v>
      </c>
      <c r="L101" s="6">
        <v>0.39069120209879998</v>
      </c>
      <c r="M101" s="6">
        <v>0.42412069686342402</v>
      </c>
      <c r="N101" s="41">
        <f t="shared" si="2"/>
        <v>5.5950640458141727</v>
      </c>
    </row>
    <row r="102" spans="1:14" ht="12.3" x14ac:dyDescent="0.4">
      <c r="A102" s="5" t="s">
        <v>16</v>
      </c>
      <c r="B102" s="6">
        <v>0.68764281147957096</v>
      </c>
      <c r="C102" s="6">
        <v>0.57910755146690196</v>
      </c>
      <c r="D102" s="6">
        <v>0.59198613786286503</v>
      </c>
      <c r="E102" s="6">
        <v>0.58704799489264903</v>
      </c>
      <c r="F102" s="6">
        <v>0.55912758580908295</v>
      </c>
      <c r="G102" s="6">
        <v>0.642500503859181</v>
      </c>
      <c r="H102" s="6">
        <v>0.45820863836583497</v>
      </c>
      <c r="I102" s="6">
        <v>0.66537994365778896</v>
      </c>
      <c r="J102" s="6">
        <v>0.63115074731520004</v>
      </c>
      <c r="K102" s="6">
        <v>0.67043466099363902</v>
      </c>
      <c r="L102" s="6">
        <v>0.67987824408547903</v>
      </c>
      <c r="M102" s="6">
        <v>0.63114926287388096</v>
      </c>
      <c r="N102" s="41">
        <f t="shared" si="2"/>
        <v>7.3836140826620733</v>
      </c>
    </row>
    <row r="103" spans="1:14" ht="14.4" x14ac:dyDescent="0.55000000000000004">
      <c r="A103" s="5" t="s">
        <v>17</v>
      </c>
      <c r="B103" s="7">
        <v>0.52153300000000002</v>
      </c>
      <c r="C103" s="7">
        <v>0.51538499999999998</v>
      </c>
      <c r="D103" s="7">
        <v>0.56874800000000003</v>
      </c>
      <c r="E103" s="7">
        <v>0.59661200000000003</v>
      </c>
      <c r="F103" s="7">
        <v>0.51845300000000005</v>
      </c>
      <c r="G103" s="7">
        <v>0.58825499999999997</v>
      </c>
      <c r="H103" s="7">
        <v>0.67262100000000002</v>
      </c>
      <c r="I103" s="7">
        <v>0.67122499999999996</v>
      </c>
      <c r="J103" s="7">
        <v>0.64600199999999997</v>
      </c>
      <c r="K103" s="7">
        <v>0.54108500000000004</v>
      </c>
      <c r="L103" s="7">
        <v>0.50631300000000001</v>
      </c>
      <c r="M103" s="7">
        <v>0.50710699999999997</v>
      </c>
      <c r="N103" s="41">
        <f t="shared" si="2"/>
        <v>6.8533390000000001</v>
      </c>
    </row>
    <row r="104" spans="1:14" ht="12.3" x14ac:dyDescent="0.4">
      <c r="A104" s="5" t="s">
        <v>18</v>
      </c>
      <c r="B104" s="6">
        <v>0.62558594993113303</v>
      </c>
      <c r="C104" s="6">
        <v>0.64284619516070696</v>
      </c>
      <c r="D104" s="6">
        <v>0.61774410199466401</v>
      </c>
      <c r="E104" s="6">
        <v>0.64562004915447402</v>
      </c>
      <c r="F104" s="6">
        <v>0.70066652470735402</v>
      </c>
      <c r="G104" s="6">
        <v>0.68226334703784897</v>
      </c>
      <c r="H104" s="6">
        <v>0.80324145743832298</v>
      </c>
      <c r="I104" s="6">
        <v>0.78243975987710601</v>
      </c>
      <c r="J104" s="6">
        <v>0.74837190262289499</v>
      </c>
      <c r="K104" s="6">
        <v>0.61432959116906305</v>
      </c>
      <c r="L104" s="6">
        <v>0.61357668911521501</v>
      </c>
      <c r="M104" s="6">
        <v>0.66254638843202895</v>
      </c>
      <c r="N104" s="41">
        <f t="shared" si="2"/>
        <v>8.1392319566408116</v>
      </c>
    </row>
    <row r="105" spans="1:14" ht="14.4" x14ac:dyDescent="0.55000000000000004">
      <c r="A105" s="5" t="s">
        <v>19</v>
      </c>
      <c r="B105" s="7">
        <v>0.68104799999999999</v>
      </c>
      <c r="C105" s="7">
        <v>0.57542899999999997</v>
      </c>
      <c r="D105" s="7">
        <v>0.587727</v>
      </c>
      <c r="E105" s="7">
        <v>0.49004199999999998</v>
      </c>
      <c r="F105" s="7">
        <v>0.74438700000000002</v>
      </c>
      <c r="G105" s="7">
        <v>0.709067</v>
      </c>
      <c r="H105" s="7">
        <v>0.77166299999999999</v>
      </c>
      <c r="I105" s="7">
        <v>0.69863900000000001</v>
      </c>
      <c r="J105" s="7">
        <v>0.75806099999999998</v>
      </c>
      <c r="K105" s="7">
        <v>0.670651</v>
      </c>
      <c r="L105" s="7">
        <v>0.63661299999999998</v>
      </c>
      <c r="M105" s="7">
        <v>0.67747400000000002</v>
      </c>
      <c r="N105" s="41">
        <f t="shared" si="2"/>
        <v>8.0008009999999992</v>
      </c>
    </row>
    <row r="106" spans="1:14" ht="14.4" x14ac:dyDescent="0.55000000000000004">
      <c r="A106" s="8" t="s">
        <v>100</v>
      </c>
      <c r="B106" s="13">
        <v>0.66</v>
      </c>
      <c r="C106" s="13">
        <v>0</v>
      </c>
      <c r="D106" s="13">
        <v>0.56000000000000005</v>
      </c>
      <c r="E106" s="13">
        <v>0.5</v>
      </c>
      <c r="F106" s="13">
        <v>0.7</v>
      </c>
      <c r="G106" s="13">
        <v>0.7</v>
      </c>
      <c r="H106" s="13">
        <v>0.77</v>
      </c>
      <c r="I106" s="12">
        <v>0.71</v>
      </c>
      <c r="J106" s="12">
        <v>0.71</v>
      </c>
      <c r="K106" s="12">
        <v>0.68</v>
      </c>
      <c r="L106" s="12">
        <v>0.56999999999999995</v>
      </c>
      <c r="M106" s="12">
        <v>0.66</v>
      </c>
      <c r="N106" s="41">
        <f t="shared" si="2"/>
        <v>7.22</v>
      </c>
    </row>
    <row r="107" spans="1:14" ht="14.4" x14ac:dyDescent="0.55000000000000004">
      <c r="A107" s="10" t="s">
        <v>106</v>
      </c>
      <c r="B107" s="13">
        <v>0.47940500000000003</v>
      </c>
      <c r="C107" s="13">
        <v>0.52308399999999999</v>
      </c>
      <c r="D107" s="13">
        <v>0.52335100000000001</v>
      </c>
      <c r="E107" s="13">
        <v>0.60315399999999997</v>
      </c>
      <c r="F107" s="13">
        <v>0.692963</v>
      </c>
      <c r="G107" s="13">
        <v>0.69053799999999999</v>
      </c>
      <c r="H107" s="13">
        <v>0.77714000000000005</v>
      </c>
      <c r="I107" s="12">
        <v>0.72620600000000002</v>
      </c>
      <c r="J107" s="12">
        <v>0.69847700000000001</v>
      </c>
      <c r="K107" s="12">
        <v>0.62109599999999998</v>
      </c>
      <c r="L107" s="12">
        <v>0.58083499999999999</v>
      </c>
      <c r="M107" s="12">
        <v>0.55924200000000002</v>
      </c>
      <c r="N107" s="41">
        <f t="shared" si="2"/>
        <v>7.4754910000000008</v>
      </c>
    </row>
    <row r="108" spans="1:14" ht="14.4" x14ac:dyDescent="0.55000000000000004">
      <c r="A108" s="10" t="s">
        <v>107</v>
      </c>
      <c r="B108" s="13">
        <v>0.64551000000000003</v>
      </c>
      <c r="C108" s="13">
        <v>0.51607499999999995</v>
      </c>
      <c r="D108" s="13">
        <v>0.57380799999999998</v>
      </c>
      <c r="E108" s="13">
        <v>0.594719</v>
      </c>
      <c r="F108" s="13">
        <v>0.73821400000000004</v>
      </c>
      <c r="G108" s="13">
        <v>0.69686899999999996</v>
      </c>
      <c r="H108" s="13">
        <v>0.78100400000000003</v>
      </c>
      <c r="I108" s="12">
        <v>0.71439799999999998</v>
      </c>
      <c r="J108" s="12">
        <v>0.66226200000000002</v>
      </c>
      <c r="K108" s="12">
        <v>0.57743599999999995</v>
      </c>
      <c r="L108" s="12">
        <v>0.62695500000000004</v>
      </c>
      <c r="M108" s="12">
        <v>0.66481699999999999</v>
      </c>
      <c r="N108" s="41">
        <f t="shared" si="2"/>
        <v>7.7920670000000003</v>
      </c>
    </row>
    <row r="109" spans="1:14" ht="14.4" x14ac:dyDescent="0.55000000000000004">
      <c r="A109" s="10" t="s">
        <v>108</v>
      </c>
      <c r="B109" s="13">
        <v>0.14233699999999999</v>
      </c>
      <c r="C109" s="13">
        <v>0.20413300000000001</v>
      </c>
      <c r="D109" s="13">
        <v>0.20664299999999999</v>
      </c>
      <c r="E109" s="13">
        <v>0.19286900000000001</v>
      </c>
      <c r="F109" s="13">
        <v>0.118308</v>
      </c>
      <c r="G109" s="13">
        <v>0.139822</v>
      </c>
      <c r="H109" s="13">
        <v>0.19612199999999999</v>
      </c>
      <c r="I109" s="12">
        <v>0.14835599999999999</v>
      </c>
      <c r="J109" s="12">
        <v>0.18310000000000001</v>
      </c>
      <c r="K109" s="12">
        <v>0.24831600000000001</v>
      </c>
      <c r="L109" s="12">
        <v>0.189112</v>
      </c>
      <c r="M109" s="12">
        <v>0.19988900000000001</v>
      </c>
      <c r="N109" s="41">
        <f t="shared" si="2"/>
        <v>2.1690069999999997</v>
      </c>
    </row>
    <row r="110" spans="1:14" ht="14.4" x14ac:dyDescent="0.55000000000000004">
      <c r="A110" s="10" t="s">
        <v>109</v>
      </c>
      <c r="B110" s="13">
        <v>0.16318299999999999</v>
      </c>
      <c r="C110" s="13">
        <v>0.20408000000000001</v>
      </c>
      <c r="D110" s="13">
        <v>0.17768500000000001</v>
      </c>
      <c r="E110" s="13">
        <v>0.20277000000000001</v>
      </c>
      <c r="F110" s="13">
        <v>0.13175100000000001</v>
      </c>
      <c r="G110" s="13">
        <v>0.13842699999999999</v>
      </c>
      <c r="H110" s="13">
        <v>0.21826899999999999</v>
      </c>
      <c r="I110" s="12">
        <v>0.23072999999999999</v>
      </c>
      <c r="J110" s="12">
        <v>0.29338799999999998</v>
      </c>
      <c r="K110" s="12">
        <v>0.29856700000000003</v>
      </c>
      <c r="L110" s="12">
        <v>0.19738</v>
      </c>
      <c r="M110" s="12">
        <v>0.28692699999999999</v>
      </c>
      <c r="N110" s="41">
        <f t="shared" si="2"/>
        <v>2.5431569999999999</v>
      </c>
    </row>
    <row r="111" spans="1:14" ht="14.4" x14ac:dyDescent="0.55000000000000004">
      <c r="A111" s="10" t="s">
        <v>110</v>
      </c>
      <c r="B111" s="13">
        <v>0.16476499999999999</v>
      </c>
      <c r="C111" s="13">
        <v>0.19852</v>
      </c>
      <c r="D111" s="13">
        <v>0.205593</v>
      </c>
      <c r="E111" s="13">
        <v>0.19187399999999999</v>
      </c>
      <c r="F111" s="13">
        <v>0.121768</v>
      </c>
      <c r="G111" s="13">
        <v>0.14510899999999999</v>
      </c>
      <c r="H111" s="13">
        <v>0.18095800000000001</v>
      </c>
      <c r="I111" s="12">
        <v>0.130054</v>
      </c>
      <c r="J111" s="12">
        <v>0.235259</v>
      </c>
      <c r="K111" s="12">
        <v>0.22242100000000001</v>
      </c>
      <c r="L111" s="12">
        <v>0.22375900000000001</v>
      </c>
      <c r="M111" s="12">
        <v>0.190053</v>
      </c>
      <c r="N111" s="41">
        <f t="shared" si="2"/>
        <v>2.2101329999999999</v>
      </c>
    </row>
    <row r="112" spans="1:14" ht="14.4" x14ac:dyDescent="0.55000000000000004">
      <c r="A112" s="10" t="s">
        <v>111</v>
      </c>
      <c r="B112" s="13">
        <v>0.22964499999999999</v>
      </c>
      <c r="C112" s="13">
        <v>0.20627999999999999</v>
      </c>
      <c r="D112" s="13">
        <v>0.229631</v>
      </c>
      <c r="E112" s="13">
        <v>0.200602</v>
      </c>
      <c r="F112" s="13">
        <v>0.12485400000000001</v>
      </c>
      <c r="G112" s="13">
        <v>0.153058</v>
      </c>
      <c r="H112" s="13">
        <v>0.24293699999999999</v>
      </c>
      <c r="I112" s="12">
        <v>0.280335</v>
      </c>
      <c r="J112" s="12">
        <v>0.30638199999999999</v>
      </c>
      <c r="K112" s="12">
        <v>0.27474999999999999</v>
      </c>
      <c r="L112" s="12">
        <v>0.237232</v>
      </c>
      <c r="M112" s="12">
        <v>0.266982</v>
      </c>
      <c r="N112" s="41">
        <f t="shared" si="2"/>
        <v>2.752688</v>
      </c>
    </row>
    <row r="113" spans="1:14" ht="14.4" x14ac:dyDescent="0.55000000000000004">
      <c r="A113" s="14" t="s">
        <v>112</v>
      </c>
      <c r="B113" s="13">
        <v>0.59873900000000002</v>
      </c>
      <c r="C113" s="13">
        <v>0.53097099999999997</v>
      </c>
      <c r="D113" s="13">
        <v>0.56993700000000003</v>
      </c>
      <c r="E113" s="13">
        <v>0.62772399999999995</v>
      </c>
      <c r="F113" s="13">
        <v>0.73912500000000003</v>
      </c>
      <c r="G113" s="13">
        <v>0.70026600000000006</v>
      </c>
      <c r="H113" s="13">
        <v>0.76889300000000005</v>
      </c>
      <c r="I113" s="12">
        <v>0.70657700000000001</v>
      </c>
      <c r="J113" s="12">
        <v>0.71762199999999998</v>
      </c>
      <c r="K113" s="12">
        <v>0.56941299999999995</v>
      </c>
      <c r="L113" s="12">
        <v>0.57899</v>
      </c>
      <c r="M113" s="12">
        <v>0.56372900000000004</v>
      </c>
      <c r="N113" s="41">
        <f t="shared" si="2"/>
        <v>7.6719860000000004</v>
      </c>
    </row>
    <row r="114" spans="1:14" ht="14.4" x14ac:dyDescent="0.55000000000000004">
      <c r="A114" s="15" t="s">
        <v>113</v>
      </c>
      <c r="B114" s="13">
        <v>0.27993800000000002</v>
      </c>
      <c r="C114" s="13">
        <v>0.33252300000000001</v>
      </c>
      <c r="D114" s="13">
        <v>0.14096400000000001</v>
      </c>
      <c r="E114" s="13">
        <v>0.19251599999999999</v>
      </c>
      <c r="F114" s="13">
        <v>4.0769E-2</v>
      </c>
      <c r="G114" s="13">
        <v>0.48144799999999999</v>
      </c>
      <c r="H114" s="13">
        <v>0.74219900000000005</v>
      </c>
      <c r="I114" s="12">
        <v>0.69391800000000003</v>
      </c>
      <c r="J114" s="12">
        <v>0.29338799999999998</v>
      </c>
      <c r="K114" s="12">
        <v>0.41023300000000001</v>
      </c>
      <c r="L114" s="12">
        <v>0.38632100000000003</v>
      </c>
      <c r="M114" s="12">
        <v>0.37982300000000002</v>
      </c>
      <c r="N114" s="41">
        <f t="shared" si="2"/>
        <v>4.3740400000000008</v>
      </c>
    </row>
    <row r="115" spans="1:14" ht="14.4" x14ac:dyDescent="0.55000000000000004">
      <c r="A115" s="16" t="s">
        <v>114</v>
      </c>
      <c r="B115" s="13">
        <v>0.62433099999999997</v>
      </c>
      <c r="C115" s="13">
        <v>0.63619300000000001</v>
      </c>
      <c r="D115" s="13">
        <v>0.60264499999999999</v>
      </c>
      <c r="E115" s="13">
        <v>0.58970999999999996</v>
      </c>
      <c r="F115" s="13">
        <v>0.59292</v>
      </c>
      <c r="G115" s="13">
        <v>0.70306000000000002</v>
      </c>
      <c r="H115" s="13">
        <v>0.753803</v>
      </c>
      <c r="I115" s="12">
        <v>0.71516900000000005</v>
      </c>
      <c r="J115" s="12">
        <v>0.54480899999999999</v>
      </c>
      <c r="K115" s="12">
        <v>0.58102200000000004</v>
      </c>
      <c r="L115" s="12">
        <v>0.56839399999999995</v>
      </c>
      <c r="M115" s="12">
        <v>0.66236899999999999</v>
      </c>
      <c r="N115" s="41">
        <f t="shared" si="2"/>
        <v>7.5744250000000006</v>
      </c>
    </row>
    <row r="116" spans="1:14" ht="14.4" x14ac:dyDescent="0.55000000000000004">
      <c r="A116" s="8" t="s">
        <v>115</v>
      </c>
      <c r="B116" s="13">
        <v>0.60337200000000002</v>
      </c>
      <c r="C116" s="13">
        <v>0.52393500000000004</v>
      </c>
      <c r="D116" s="13">
        <v>0.62398699999999996</v>
      </c>
      <c r="E116" s="13">
        <v>0.61045099999999997</v>
      </c>
      <c r="F116" s="13">
        <v>0.59493499999999999</v>
      </c>
      <c r="G116" s="13">
        <v>0.69850599999999996</v>
      </c>
      <c r="H116" s="13">
        <v>0.78312199999999998</v>
      </c>
      <c r="I116" s="12">
        <v>0.71377299999999999</v>
      </c>
      <c r="J116" s="12">
        <v>0.71330700000000002</v>
      </c>
      <c r="K116" s="12">
        <v>0.66566099999999995</v>
      </c>
      <c r="L116" s="12">
        <v>0.60210699999999995</v>
      </c>
      <c r="M116" s="12">
        <v>0.61247700000000005</v>
      </c>
      <c r="N116" s="41">
        <f t="shared" si="2"/>
        <v>7.7456330000000007</v>
      </c>
    </row>
    <row r="117" spans="1:14" ht="14.4" x14ac:dyDescent="0.55000000000000004">
      <c r="A117" s="10" t="s">
        <v>20</v>
      </c>
      <c r="B117" s="13">
        <v>0.596468</v>
      </c>
      <c r="C117" s="13">
        <v>0.50147600000000003</v>
      </c>
      <c r="D117" s="13">
        <v>0.63784300000000005</v>
      </c>
      <c r="E117" s="13">
        <v>0.50002500000000005</v>
      </c>
      <c r="F117" s="13">
        <v>0.69631399999999999</v>
      </c>
      <c r="G117" s="13">
        <v>0.69669300000000001</v>
      </c>
      <c r="H117" s="13">
        <v>0.77726499999999998</v>
      </c>
      <c r="I117" s="12">
        <v>0.72331000000000001</v>
      </c>
      <c r="J117" s="12">
        <v>0.72030300000000003</v>
      </c>
      <c r="K117" s="12">
        <v>0.66138399999999997</v>
      </c>
      <c r="L117" s="12">
        <v>0.545574</v>
      </c>
      <c r="M117" s="12">
        <v>0.55160399999999998</v>
      </c>
      <c r="N117" s="41">
        <f t="shared" si="2"/>
        <v>7.6082590000000003</v>
      </c>
    </row>
    <row r="118" spans="1:14" ht="14.4" x14ac:dyDescent="0.55000000000000004">
      <c r="A118" s="8" t="s">
        <v>21</v>
      </c>
      <c r="B118" s="13">
        <v>0.53561899999999996</v>
      </c>
      <c r="C118" s="13">
        <v>0.44971499999999998</v>
      </c>
      <c r="D118" s="13">
        <v>0.58299699999999999</v>
      </c>
      <c r="E118" s="13">
        <v>0.393675</v>
      </c>
      <c r="F118" s="13">
        <v>0.60925300000000004</v>
      </c>
      <c r="G118" s="13">
        <v>0.64053700000000002</v>
      </c>
      <c r="H118" s="13">
        <v>0.578233</v>
      </c>
      <c r="I118" s="12">
        <v>0.70257000000000003</v>
      </c>
      <c r="J118" s="12">
        <v>0.71836800000000001</v>
      </c>
      <c r="K118" s="12">
        <v>0.49531900000000001</v>
      </c>
      <c r="L118" s="12">
        <v>0.45178499999999999</v>
      </c>
      <c r="M118" s="12">
        <v>0.35131400000000002</v>
      </c>
      <c r="N118" s="41">
        <f t="shared" si="2"/>
        <v>6.5093850000000009</v>
      </c>
    </row>
    <row r="119" spans="1:14" ht="14.4" x14ac:dyDescent="0.55000000000000004">
      <c r="A119" s="8" t="s">
        <v>22</v>
      </c>
      <c r="B119" s="13">
        <v>0.38905299999999998</v>
      </c>
      <c r="C119" s="13">
        <v>0.48204799999999998</v>
      </c>
      <c r="D119" s="13">
        <v>0.59677199999999997</v>
      </c>
      <c r="E119" s="13">
        <v>0.36381200000000002</v>
      </c>
      <c r="F119" s="13">
        <v>0.69187200000000004</v>
      </c>
      <c r="G119" s="13">
        <v>0.48668699999999998</v>
      </c>
      <c r="H119" s="13">
        <v>0.75475599999999998</v>
      </c>
      <c r="I119" s="12">
        <v>0.629687</v>
      </c>
      <c r="J119" s="12">
        <v>0.56699900000000003</v>
      </c>
      <c r="K119" s="12">
        <v>0.43659500000000001</v>
      </c>
      <c r="L119" s="12">
        <v>0.56493899999999997</v>
      </c>
      <c r="M119" s="12">
        <v>0.35477799999999998</v>
      </c>
      <c r="N119" s="41">
        <f t="shared" si="2"/>
        <v>6.3179979999999993</v>
      </c>
    </row>
    <row r="120" spans="1:14" ht="14.4" x14ac:dyDescent="0.55000000000000004">
      <c r="A120" s="25" t="s">
        <v>99</v>
      </c>
      <c r="B120" s="13">
        <v>0.53561899999999996</v>
      </c>
      <c r="C120" s="13">
        <v>0.44971499999999998</v>
      </c>
      <c r="D120" s="13">
        <v>0.58299699999999999</v>
      </c>
      <c r="E120" s="13">
        <v>0.61045099999999997</v>
      </c>
      <c r="F120" s="13">
        <v>0.69187200000000004</v>
      </c>
      <c r="G120" s="13">
        <v>0.64053700000000002</v>
      </c>
      <c r="H120" s="13">
        <v>0.77</v>
      </c>
      <c r="I120" s="12">
        <v>0.629687</v>
      </c>
      <c r="J120" s="12">
        <v>0.71836800000000001</v>
      </c>
      <c r="K120" s="12">
        <v>0.68</v>
      </c>
      <c r="L120" s="12">
        <v>0.56999999999999995</v>
      </c>
      <c r="M120" s="12">
        <v>0.61247700000000005</v>
      </c>
    </row>
    <row r="121" spans="1:14" ht="14.4" x14ac:dyDescent="0.55000000000000004">
      <c r="A121" s="25"/>
      <c r="B121" s="13"/>
      <c r="C121" s="13"/>
      <c r="D121" s="13"/>
      <c r="E121" s="13"/>
      <c r="F121" s="13"/>
      <c r="G121" s="13"/>
      <c r="H121" s="13"/>
      <c r="I121" s="12"/>
      <c r="J121" s="12"/>
      <c r="K121" s="12"/>
      <c r="L121" s="12"/>
      <c r="M121" s="12"/>
    </row>
    <row r="122" spans="1:14" ht="14.4" x14ac:dyDescent="0.55000000000000004">
      <c r="A122" s="25"/>
      <c r="B122" s="13"/>
      <c r="C122" s="13"/>
      <c r="D122" s="13"/>
      <c r="E122" s="13"/>
      <c r="F122" s="13"/>
      <c r="G122" s="13"/>
      <c r="H122" s="13"/>
      <c r="I122" s="12"/>
      <c r="J122" s="12"/>
      <c r="K122" s="12"/>
      <c r="L122" s="12"/>
      <c r="M122" s="12"/>
    </row>
    <row r="123" spans="1:14" ht="14.4" x14ac:dyDescent="0.55000000000000004">
      <c r="A123" s="25"/>
      <c r="B123" s="13"/>
      <c r="C123" s="13"/>
      <c r="D123" s="13"/>
      <c r="E123" s="13"/>
      <c r="F123" s="13"/>
      <c r="G123" s="13"/>
      <c r="H123" s="13"/>
      <c r="I123" s="12"/>
      <c r="J123" s="12"/>
      <c r="K123" s="12"/>
      <c r="L123" s="12"/>
      <c r="M123" s="12"/>
    </row>
    <row r="124" spans="1:14" ht="14.4" x14ac:dyDescent="0.55000000000000004">
      <c r="A124" s="25"/>
      <c r="B124" s="13"/>
      <c r="C124" s="13"/>
      <c r="D124" s="13"/>
      <c r="E124" s="13"/>
      <c r="F124" s="13"/>
      <c r="G124" s="13"/>
      <c r="H124" s="13"/>
      <c r="I124" s="12"/>
      <c r="J124" s="12"/>
      <c r="K124" s="12"/>
      <c r="L124" s="12"/>
      <c r="M124" s="12"/>
    </row>
    <row r="125" spans="1:14" ht="14.4" x14ac:dyDescent="0.55000000000000004">
      <c r="A125" s="25"/>
      <c r="B125" s="13"/>
      <c r="C125" s="13"/>
      <c r="D125" s="13"/>
      <c r="E125" s="13"/>
      <c r="F125" s="13"/>
      <c r="G125" s="13"/>
      <c r="H125" s="13"/>
      <c r="I125" s="12"/>
      <c r="J125" s="12"/>
      <c r="K125" s="12"/>
      <c r="L125" s="12"/>
      <c r="M125" s="12"/>
    </row>
    <row r="126" spans="1:14" ht="14.4" x14ac:dyDescent="0.55000000000000004">
      <c r="A126" s="25"/>
      <c r="B126" s="13"/>
      <c r="C126" s="13"/>
      <c r="D126" s="13"/>
      <c r="E126" s="13"/>
      <c r="F126" s="13"/>
      <c r="G126" s="13"/>
      <c r="H126" s="13"/>
      <c r="I126" s="12"/>
      <c r="J126" s="12"/>
      <c r="K126" s="12"/>
      <c r="L126" s="12"/>
      <c r="M126" s="12"/>
    </row>
    <row r="127" spans="1:14" ht="30.3" x14ac:dyDescent="1">
      <c r="A127" s="26" t="s">
        <v>34</v>
      </c>
      <c r="B127" s="6"/>
      <c r="C127" s="6"/>
      <c r="D127" s="6"/>
      <c r="E127" s="6"/>
      <c r="F127" s="7"/>
      <c r="G127" s="6"/>
      <c r="H127" s="7"/>
    </row>
    <row r="128" spans="1:14" ht="12.3" x14ac:dyDescent="0.4">
      <c r="A128" s="24"/>
    </row>
    <row r="129" spans="1:14" ht="15" x14ac:dyDescent="0.5">
      <c r="A129" s="28" t="s">
        <v>1</v>
      </c>
      <c r="B129" s="3" t="s">
        <v>2</v>
      </c>
      <c r="C129" s="3" t="s">
        <v>3</v>
      </c>
      <c r="D129" s="3" t="s">
        <v>4</v>
      </c>
      <c r="E129" s="3" t="s">
        <v>5</v>
      </c>
      <c r="F129" s="3" t="s">
        <v>6</v>
      </c>
      <c r="G129" s="3" t="s">
        <v>7</v>
      </c>
      <c r="H129" s="3" t="s">
        <v>8</v>
      </c>
      <c r="I129" s="3" t="s">
        <v>9</v>
      </c>
      <c r="J129" s="3" t="s">
        <v>10</v>
      </c>
      <c r="K129" s="3" t="s">
        <v>11</v>
      </c>
      <c r="L129" s="3" t="s">
        <v>12</v>
      </c>
      <c r="M129" s="4">
        <v>151676</v>
      </c>
      <c r="N129" s="3" t="s">
        <v>97</v>
      </c>
    </row>
    <row r="130" spans="1:14" ht="14.4" x14ac:dyDescent="0.55000000000000004">
      <c r="A130" s="5" t="s">
        <v>13</v>
      </c>
      <c r="B130" s="7">
        <v>6.0831000000000003E-2</v>
      </c>
      <c r="C130" s="7">
        <v>5.9020000000000003E-2</v>
      </c>
      <c r="D130" s="7">
        <v>5.3655000000000001E-2</v>
      </c>
      <c r="E130" s="7">
        <v>5.7554000000000001E-2</v>
      </c>
      <c r="F130" s="7">
        <v>6.1955000000000003E-2</v>
      </c>
      <c r="G130" s="7">
        <v>6.5975000000000006E-2</v>
      </c>
      <c r="H130" s="7">
        <v>5.8520000000000003E-2</v>
      </c>
      <c r="I130" s="7">
        <v>5.8387000000000001E-2</v>
      </c>
      <c r="J130" s="7">
        <v>6.0194999999999999E-2</v>
      </c>
      <c r="K130" s="7">
        <v>5.9582999999999997E-2</v>
      </c>
      <c r="L130" s="7">
        <v>6.4068E-2</v>
      </c>
      <c r="M130" s="7">
        <v>6.7039000000000001E-2</v>
      </c>
      <c r="N130" s="41">
        <f>SUM(B130:M130)</f>
        <v>0.72678199999999993</v>
      </c>
    </row>
    <row r="131" spans="1:14" ht="14.4" x14ac:dyDescent="0.55000000000000004">
      <c r="A131" s="5" t="s">
        <v>14</v>
      </c>
      <c r="B131" s="7">
        <v>5.6848999999999997E-2</v>
      </c>
      <c r="C131" s="7">
        <v>5.5732999999999998E-2</v>
      </c>
      <c r="D131" s="7">
        <v>5.3755999999999998E-2</v>
      </c>
      <c r="E131" s="7">
        <v>5.5565000000000003E-2</v>
      </c>
      <c r="F131" s="7">
        <v>6.1941999999999997E-2</v>
      </c>
      <c r="G131" s="7">
        <v>6.1203E-2</v>
      </c>
      <c r="H131" s="7">
        <v>5.7882000000000003E-2</v>
      </c>
      <c r="I131" s="7">
        <v>5.9676E-2</v>
      </c>
      <c r="J131" s="7">
        <v>6.0505000000000003E-2</v>
      </c>
      <c r="K131" s="7">
        <v>5.9781000000000001E-2</v>
      </c>
      <c r="L131" s="7">
        <v>6.053E-2</v>
      </c>
      <c r="M131" s="7">
        <v>6.3161999999999996E-2</v>
      </c>
      <c r="N131" s="41">
        <f t="shared" ref="N131:N150" si="3">SUM(B131:M131)</f>
        <v>0.70658399999999988</v>
      </c>
    </row>
    <row r="132" spans="1:14" ht="12.3" x14ac:dyDescent="0.4">
      <c r="A132" s="5" t="s">
        <v>15</v>
      </c>
      <c r="B132" s="6">
        <v>5.6290231441776598E-2</v>
      </c>
      <c r="C132" s="6">
        <v>5.5101157156788601E-2</v>
      </c>
      <c r="D132" s="6">
        <v>5.3489120686924699E-2</v>
      </c>
      <c r="E132" s="6">
        <v>5.5019934323679298E-2</v>
      </c>
      <c r="F132" s="6">
        <v>6.2506141072010801E-2</v>
      </c>
      <c r="G132" s="6">
        <v>6.0440578922806902E-2</v>
      </c>
      <c r="H132" s="6">
        <v>5.7836918074832003E-2</v>
      </c>
      <c r="I132" s="6">
        <v>5.8355012982249301E-2</v>
      </c>
      <c r="J132" s="6">
        <v>6.0423020386832303E-2</v>
      </c>
      <c r="K132" s="6">
        <v>5.9831641345295603E-2</v>
      </c>
      <c r="L132" s="6">
        <v>6.0385038124982401E-2</v>
      </c>
      <c r="M132" s="6">
        <v>6.2401434693772302E-2</v>
      </c>
      <c r="N132" s="41">
        <f t="shared" si="3"/>
        <v>0.7020802292119509</v>
      </c>
    </row>
    <row r="133" spans="1:14" ht="12.3" x14ac:dyDescent="0.4">
      <c r="A133" s="5" t="s">
        <v>16</v>
      </c>
      <c r="B133" s="6">
        <v>5.6439361222223199E-2</v>
      </c>
      <c r="C133" s="6">
        <v>5.5669212492440397E-2</v>
      </c>
      <c r="D133" s="6">
        <v>5.39364970955553E-2</v>
      </c>
      <c r="E133" s="6">
        <v>5.5030218522719498E-2</v>
      </c>
      <c r="F133" s="6">
        <v>6.2609613275876705E-2</v>
      </c>
      <c r="G133" s="6">
        <v>6.1859527667264602E-2</v>
      </c>
      <c r="H133" s="6">
        <v>5.8204442072802301E-2</v>
      </c>
      <c r="I133" s="6">
        <v>5.82125377145973E-2</v>
      </c>
      <c r="J133" s="6">
        <v>6.0154551862192998E-2</v>
      </c>
      <c r="K133" s="6">
        <v>6.0010831756969203E-2</v>
      </c>
      <c r="L133" s="6">
        <v>6.1426494913737702E-2</v>
      </c>
      <c r="M133" s="6">
        <v>6.2683817950761E-2</v>
      </c>
      <c r="N133" s="41">
        <f t="shared" si="3"/>
        <v>0.70623710654714023</v>
      </c>
    </row>
    <row r="134" spans="1:14" ht="14.4" x14ac:dyDescent="0.55000000000000004">
      <c r="A134" s="5" t="s">
        <v>17</v>
      </c>
      <c r="B134" s="7">
        <v>5.8728000000000002E-2</v>
      </c>
      <c r="C134" s="7">
        <v>5.7661999999999998E-2</v>
      </c>
      <c r="D134" s="7">
        <v>5.6283E-2</v>
      </c>
      <c r="E134" s="7">
        <v>5.8194999999999997E-2</v>
      </c>
      <c r="F134" s="7">
        <v>6.5130999999999994E-2</v>
      </c>
      <c r="G134" s="7">
        <v>6.4639000000000002E-2</v>
      </c>
      <c r="H134" s="7">
        <v>6.0668E-2</v>
      </c>
      <c r="I134" s="7">
        <v>6.0477999999999997E-2</v>
      </c>
      <c r="J134" s="7">
        <v>6.1818999999999999E-2</v>
      </c>
      <c r="K134" s="7">
        <v>6.2241999999999999E-2</v>
      </c>
      <c r="L134" s="7">
        <v>6.2994999999999995E-2</v>
      </c>
      <c r="M134" s="7">
        <v>6.4398999999999998E-2</v>
      </c>
      <c r="N134" s="41">
        <f t="shared" si="3"/>
        <v>0.73323899999999997</v>
      </c>
    </row>
    <row r="135" spans="1:14" ht="12.3" x14ac:dyDescent="0.4">
      <c r="A135" s="5" t="s">
        <v>18</v>
      </c>
      <c r="B135" s="6">
        <v>5.6387289266641501E-2</v>
      </c>
      <c r="C135" s="6">
        <v>5.5075272157313802E-2</v>
      </c>
      <c r="D135" s="6">
        <v>5.3751215376245103E-2</v>
      </c>
      <c r="E135" s="6">
        <v>5.51345551616002E-2</v>
      </c>
      <c r="F135" s="6">
        <v>6.11826882652775E-2</v>
      </c>
      <c r="G135" s="6">
        <v>6.1319065127132297E-2</v>
      </c>
      <c r="H135" s="6">
        <v>5.77392429871669E-2</v>
      </c>
      <c r="I135" s="6">
        <v>5.9534346670189101E-2</v>
      </c>
      <c r="J135" s="6">
        <v>6.05261216547388E-2</v>
      </c>
      <c r="K135" s="6">
        <v>5.9780249152843697E-2</v>
      </c>
      <c r="L135" s="6">
        <v>6.0344701020363101E-2</v>
      </c>
      <c r="M135" s="6">
        <v>6.2424662489652602E-2</v>
      </c>
      <c r="N135" s="41">
        <f t="shared" si="3"/>
        <v>0.70319940932916458</v>
      </c>
    </row>
    <row r="136" spans="1:14" ht="14.4" x14ac:dyDescent="0.55000000000000004">
      <c r="A136" s="5" t="s">
        <v>19</v>
      </c>
      <c r="B136" s="7">
        <v>5.6270000000000001E-2</v>
      </c>
      <c r="C136" s="7">
        <v>5.5232000000000003E-2</v>
      </c>
      <c r="D136" s="7">
        <v>5.3524000000000002E-2</v>
      </c>
      <c r="E136" s="7">
        <v>5.5538999999999998E-2</v>
      </c>
      <c r="F136" s="7">
        <v>6.1210000000000001E-2</v>
      </c>
      <c r="G136" s="7">
        <v>6.0386000000000002E-2</v>
      </c>
      <c r="H136" s="7">
        <v>5.7856999999999999E-2</v>
      </c>
      <c r="I136" s="7">
        <v>6.0470000000000003E-2</v>
      </c>
      <c r="J136" s="7">
        <v>5.9711E-2</v>
      </c>
      <c r="K136" s="7">
        <v>5.9782000000000002E-2</v>
      </c>
      <c r="L136" s="7">
        <v>6.0346999999999998E-2</v>
      </c>
      <c r="M136" s="7">
        <v>6.2407999999999998E-2</v>
      </c>
      <c r="N136" s="41">
        <f t="shared" si="3"/>
        <v>0.70273600000000003</v>
      </c>
    </row>
    <row r="137" spans="1:14" ht="14.4" x14ac:dyDescent="0.55000000000000004">
      <c r="A137" s="8" t="s">
        <v>100</v>
      </c>
      <c r="B137" s="13">
        <v>0.06</v>
      </c>
      <c r="C137" s="13">
        <v>0</v>
      </c>
      <c r="D137" s="13">
        <v>0.05</v>
      </c>
      <c r="E137" s="13">
        <v>0.06</v>
      </c>
      <c r="F137" s="13">
        <v>0.06</v>
      </c>
      <c r="G137" s="13">
        <v>0.06</v>
      </c>
      <c r="H137" s="13">
        <v>0.06</v>
      </c>
      <c r="I137" s="12">
        <v>0.06</v>
      </c>
      <c r="J137" s="12">
        <v>0.06</v>
      </c>
      <c r="K137" s="12">
        <v>0.06</v>
      </c>
      <c r="L137" s="12">
        <v>0.06</v>
      </c>
      <c r="M137" s="12">
        <v>0.06</v>
      </c>
      <c r="N137" s="41">
        <f t="shared" si="3"/>
        <v>0.65000000000000013</v>
      </c>
    </row>
    <row r="138" spans="1:14" ht="14.4" x14ac:dyDescent="0.55000000000000004">
      <c r="A138" s="10" t="s">
        <v>106</v>
      </c>
      <c r="B138" s="13">
        <v>5.6691999999999999E-2</v>
      </c>
      <c r="C138" s="13">
        <v>5.5111E-2</v>
      </c>
      <c r="D138" s="13">
        <v>5.3596999999999999E-2</v>
      </c>
      <c r="E138" s="13">
        <v>5.5428999999999999E-2</v>
      </c>
      <c r="F138" s="13">
        <v>6.1187999999999999E-2</v>
      </c>
      <c r="G138" s="13">
        <v>6.0415999999999997E-2</v>
      </c>
      <c r="H138" s="13">
        <v>5.7772999999999998E-2</v>
      </c>
      <c r="I138" s="12">
        <v>5.9737999999999999E-2</v>
      </c>
      <c r="J138" s="12">
        <v>6.0676000000000001E-2</v>
      </c>
      <c r="K138" s="12">
        <v>6.0214999999999998E-2</v>
      </c>
      <c r="L138" s="12">
        <v>6.0798999999999999E-2</v>
      </c>
      <c r="M138" s="12">
        <v>6.2467000000000002E-2</v>
      </c>
      <c r="N138" s="41">
        <f t="shared" si="3"/>
        <v>0.70410100000000009</v>
      </c>
    </row>
    <row r="139" spans="1:14" ht="14.4" x14ac:dyDescent="0.55000000000000004">
      <c r="A139" s="10" t="s">
        <v>107</v>
      </c>
      <c r="B139" s="13">
        <v>5.6390999999999997E-2</v>
      </c>
      <c r="C139" s="13">
        <v>5.5474999999999997E-2</v>
      </c>
      <c r="D139" s="13">
        <v>5.3505999999999998E-2</v>
      </c>
      <c r="E139" s="13">
        <v>5.5199999999999999E-2</v>
      </c>
      <c r="F139" s="13">
        <v>6.1226000000000003E-2</v>
      </c>
      <c r="G139" s="13">
        <v>6.037E-2</v>
      </c>
      <c r="H139" s="13">
        <v>5.7840999999999997E-2</v>
      </c>
      <c r="I139" s="12">
        <v>5.9817000000000002E-2</v>
      </c>
      <c r="J139" s="12">
        <v>6.0510000000000001E-2</v>
      </c>
      <c r="K139" s="12">
        <v>5.9858000000000001E-2</v>
      </c>
      <c r="L139" s="12">
        <v>6.0675E-2</v>
      </c>
      <c r="M139" s="12">
        <v>6.2406000000000003E-2</v>
      </c>
      <c r="N139" s="41">
        <f t="shared" si="3"/>
        <v>0.70327499999999987</v>
      </c>
    </row>
    <row r="140" spans="1:14" ht="14.4" x14ac:dyDescent="0.55000000000000004">
      <c r="A140" s="10" t="s">
        <v>108</v>
      </c>
      <c r="B140" s="13">
        <v>5.6654999999999997E-2</v>
      </c>
      <c r="C140" s="13">
        <v>5.5252999999999997E-2</v>
      </c>
      <c r="D140" s="13">
        <v>5.3624999999999999E-2</v>
      </c>
      <c r="E140" s="13">
        <v>5.5243E-2</v>
      </c>
      <c r="F140" s="13">
        <v>6.1179999999999998E-2</v>
      </c>
      <c r="G140" s="13">
        <v>6.0808000000000001E-2</v>
      </c>
      <c r="H140" s="13">
        <v>5.7772999999999998E-2</v>
      </c>
      <c r="I140" s="12">
        <v>5.9581000000000002E-2</v>
      </c>
      <c r="J140" s="12">
        <v>6.1006999999999999E-2</v>
      </c>
      <c r="K140" s="12">
        <v>6.0262999999999997E-2</v>
      </c>
      <c r="L140" s="12">
        <v>6.0513999999999998E-2</v>
      </c>
      <c r="M140" s="12">
        <v>6.2747999999999998E-2</v>
      </c>
      <c r="N140" s="41">
        <f t="shared" si="3"/>
        <v>0.70464999999999989</v>
      </c>
    </row>
    <row r="141" spans="1:14" ht="14.4" x14ac:dyDescent="0.55000000000000004">
      <c r="A141" s="10" t="s">
        <v>109</v>
      </c>
      <c r="B141" s="13">
        <v>5.6315999999999998E-2</v>
      </c>
      <c r="C141" s="13">
        <v>5.5239000000000003E-2</v>
      </c>
      <c r="D141" s="13">
        <v>5.3517000000000002E-2</v>
      </c>
      <c r="E141" s="13">
        <v>5.5166E-2</v>
      </c>
      <c r="F141" s="13">
        <v>6.1787000000000002E-2</v>
      </c>
      <c r="G141" s="13">
        <v>6.0528999999999999E-2</v>
      </c>
      <c r="H141" s="13">
        <v>5.8090999999999997E-2</v>
      </c>
      <c r="I141" s="12">
        <v>5.9519000000000002E-2</v>
      </c>
      <c r="J141" s="12">
        <v>6.0684000000000002E-2</v>
      </c>
      <c r="K141" s="12">
        <v>6.0159999999999998E-2</v>
      </c>
      <c r="L141" s="12">
        <v>6.0463000000000003E-2</v>
      </c>
      <c r="M141" s="12">
        <v>6.2616000000000005E-2</v>
      </c>
      <c r="N141" s="41">
        <f t="shared" si="3"/>
        <v>0.70408700000000002</v>
      </c>
    </row>
    <row r="142" spans="1:14" ht="14.4" x14ac:dyDescent="0.55000000000000004">
      <c r="A142" s="10" t="s">
        <v>110</v>
      </c>
      <c r="B142" s="13">
        <v>5.6311E-2</v>
      </c>
      <c r="C142" s="13">
        <v>5.5159E-2</v>
      </c>
      <c r="D142" s="13">
        <v>5.3664000000000003E-2</v>
      </c>
      <c r="E142" s="13">
        <v>5.5188000000000001E-2</v>
      </c>
      <c r="F142" s="13">
        <v>6.1293E-2</v>
      </c>
      <c r="G142" s="13">
        <v>6.0700999999999998E-2</v>
      </c>
      <c r="H142" s="13">
        <v>5.7832000000000001E-2</v>
      </c>
      <c r="I142" s="12">
        <v>6.0340999999999999E-2</v>
      </c>
      <c r="J142" s="12">
        <v>6.1475000000000002E-2</v>
      </c>
      <c r="K142" s="12">
        <v>6.0156000000000001E-2</v>
      </c>
      <c r="L142" s="12">
        <v>6.1178000000000003E-2</v>
      </c>
      <c r="M142" s="12">
        <v>6.2923999999999994E-2</v>
      </c>
      <c r="N142" s="41">
        <f t="shared" si="3"/>
        <v>0.70622199999999991</v>
      </c>
    </row>
    <row r="143" spans="1:14" ht="14.4" x14ac:dyDescent="0.55000000000000004">
      <c r="A143" s="10" t="s">
        <v>111</v>
      </c>
      <c r="B143" s="13">
        <v>5.7171E-2</v>
      </c>
      <c r="C143" s="13">
        <v>5.5171999999999999E-2</v>
      </c>
      <c r="D143" s="13">
        <v>5.3555999999999999E-2</v>
      </c>
      <c r="E143" s="13">
        <v>5.5156999999999998E-2</v>
      </c>
      <c r="F143" s="13">
        <v>6.1180999999999999E-2</v>
      </c>
      <c r="G143" s="13">
        <v>6.0983999999999997E-2</v>
      </c>
      <c r="H143" s="13">
        <v>5.7944000000000002E-2</v>
      </c>
      <c r="I143" s="12">
        <v>6.0868999999999999E-2</v>
      </c>
      <c r="J143" s="12">
        <v>6.0644999999999998E-2</v>
      </c>
      <c r="K143" s="12">
        <v>6.0297000000000003E-2</v>
      </c>
      <c r="L143" s="12">
        <v>6.1094000000000002E-2</v>
      </c>
      <c r="M143" s="12">
        <v>6.2594999999999998E-2</v>
      </c>
      <c r="N143" s="41">
        <f t="shared" si="3"/>
        <v>0.70666499999999988</v>
      </c>
    </row>
    <row r="144" spans="1:14" ht="14.4" x14ac:dyDescent="0.55000000000000004">
      <c r="A144" s="14" t="s">
        <v>112</v>
      </c>
      <c r="B144" s="13">
        <v>5.6522000000000003E-2</v>
      </c>
      <c r="C144" s="13">
        <v>5.5147000000000002E-2</v>
      </c>
      <c r="D144" s="13">
        <v>5.4036000000000001E-2</v>
      </c>
      <c r="E144" s="13">
        <v>5.5354E-2</v>
      </c>
      <c r="F144" s="13">
        <v>6.1261999999999997E-2</v>
      </c>
      <c r="G144" s="13">
        <v>6.0352000000000003E-2</v>
      </c>
      <c r="H144" s="13">
        <v>5.7824E-2</v>
      </c>
      <c r="I144" s="12">
        <v>5.9859999999999997E-2</v>
      </c>
      <c r="J144" s="12">
        <v>6.0474E-2</v>
      </c>
      <c r="K144" s="12">
        <v>6.0068999999999997E-2</v>
      </c>
      <c r="L144" s="12">
        <v>6.0363E-2</v>
      </c>
      <c r="M144" s="12">
        <v>6.2336000000000003E-2</v>
      </c>
      <c r="N144" s="41">
        <f t="shared" si="3"/>
        <v>0.70359900000000009</v>
      </c>
    </row>
    <row r="145" spans="1:14" ht="14.4" x14ac:dyDescent="0.55000000000000004">
      <c r="A145" s="15" t="s">
        <v>113</v>
      </c>
      <c r="B145" s="13">
        <v>5.6256E-2</v>
      </c>
      <c r="C145" s="13">
        <v>5.5072999999999997E-2</v>
      </c>
      <c r="D145" s="13">
        <v>5.3497000000000003E-2</v>
      </c>
      <c r="E145" s="13">
        <v>5.5134000000000002E-2</v>
      </c>
      <c r="F145" s="13">
        <v>6.1384000000000001E-2</v>
      </c>
      <c r="G145" s="13">
        <v>6.0373000000000003E-2</v>
      </c>
      <c r="H145" s="13">
        <v>5.7741000000000001E-2</v>
      </c>
      <c r="I145" s="12">
        <v>6.0199000000000003E-2</v>
      </c>
      <c r="J145" s="12">
        <v>6.0684000000000002E-2</v>
      </c>
      <c r="K145" s="12">
        <v>5.9748999999999997E-2</v>
      </c>
      <c r="L145" s="12">
        <v>6.0323000000000002E-2</v>
      </c>
      <c r="M145" s="12">
        <v>6.2351999999999998E-2</v>
      </c>
      <c r="N145" s="41">
        <f t="shared" si="3"/>
        <v>0.70276499999999997</v>
      </c>
    </row>
    <row r="146" spans="1:14" ht="14.4" x14ac:dyDescent="0.55000000000000004">
      <c r="A146" s="16" t="s">
        <v>114</v>
      </c>
      <c r="B146" s="13">
        <v>5.6304E-2</v>
      </c>
      <c r="C146" s="13">
        <v>5.5258000000000002E-2</v>
      </c>
      <c r="D146" s="13">
        <v>5.3677000000000002E-2</v>
      </c>
      <c r="E146" s="13">
        <v>5.5614999999999998E-2</v>
      </c>
      <c r="F146" s="13">
        <v>6.1206999999999998E-2</v>
      </c>
      <c r="G146" s="13">
        <v>6.0354999999999999E-2</v>
      </c>
      <c r="H146" s="13">
        <v>5.7846000000000002E-2</v>
      </c>
      <c r="I146" s="12">
        <v>5.9561999999999997E-2</v>
      </c>
      <c r="J146" s="12">
        <v>6.0479999999999999E-2</v>
      </c>
      <c r="K146" s="12">
        <v>5.9840999999999998E-2</v>
      </c>
      <c r="L146" s="12">
        <v>6.0628000000000001E-2</v>
      </c>
      <c r="M146" s="12">
        <v>6.2518000000000004E-2</v>
      </c>
      <c r="N146" s="41">
        <f t="shared" si="3"/>
        <v>0.703291</v>
      </c>
    </row>
    <row r="147" spans="1:14" ht="24" customHeight="1" x14ac:dyDescent="0.55000000000000004">
      <c r="A147" s="8" t="s">
        <v>115</v>
      </c>
      <c r="B147" s="13">
        <v>5.6474000000000003E-2</v>
      </c>
      <c r="C147" s="13">
        <v>5.5199999999999999E-2</v>
      </c>
      <c r="D147" s="13">
        <v>5.3624999999999999E-2</v>
      </c>
      <c r="E147" s="13">
        <v>5.5209000000000001E-2</v>
      </c>
      <c r="F147" s="13">
        <v>6.1206999999999998E-2</v>
      </c>
      <c r="G147" s="13">
        <v>6.0462000000000002E-2</v>
      </c>
      <c r="H147" s="13">
        <v>5.781E-2</v>
      </c>
      <c r="I147" s="12">
        <v>5.9590999999999998E-2</v>
      </c>
      <c r="J147" s="12">
        <v>6.0470999999999997E-2</v>
      </c>
      <c r="K147" s="12">
        <v>5.9781000000000001E-2</v>
      </c>
      <c r="L147" s="12">
        <v>6.0344000000000002E-2</v>
      </c>
      <c r="M147" s="12">
        <v>6.2376000000000001E-2</v>
      </c>
      <c r="N147" s="41">
        <f t="shared" si="3"/>
        <v>0.7025499999999999</v>
      </c>
    </row>
    <row r="148" spans="1:14" ht="12" customHeight="1" x14ac:dyDescent="0.55000000000000004">
      <c r="A148" s="10" t="s">
        <v>20</v>
      </c>
      <c r="B148" s="13">
        <v>5.6522000000000003E-2</v>
      </c>
      <c r="C148" s="13">
        <v>5.5239999999999997E-2</v>
      </c>
      <c r="D148" s="13">
        <v>5.3520999999999999E-2</v>
      </c>
      <c r="E148" s="13">
        <v>5.5257000000000001E-2</v>
      </c>
      <c r="F148" s="13">
        <v>6.1206000000000003E-2</v>
      </c>
      <c r="G148" s="13">
        <v>6.0366999999999997E-2</v>
      </c>
      <c r="H148" s="13">
        <v>5.7818000000000001E-2</v>
      </c>
      <c r="I148" s="12">
        <v>5.9611999999999998E-2</v>
      </c>
      <c r="J148" s="12">
        <v>6.0469000000000002E-2</v>
      </c>
      <c r="K148" s="12">
        <v>5.9864000000000001E-2</v>
      </c>
      <c r="L148" s="12">
        <v>6.0718000000000001E-2</v>
      </c>
      <c r="M148" s="12">
        <v>6.2391000000000002E-2</v>
      </c>
      <c r="N148" s="41">
        <f t="shared" si="3"/>
        <v>0.70298500000000008</v>
      </c>
    </row>
    <row r="149" spans="1:14" ht="14.4" x14ac:dyDescent="0.55000000000000004">
      <c r="A149" s="8" t="s">
        <v>21</v>
      </c>
      <c r="B149" s="13">
        <v>5.6412999999999998E-2</v>
      </c>
      <c r="C149" s="13">
        <v>5.5515000000000002E-2</v>
      </c>
      <c r="D149" s="13">
        <v>5.3788999999999997E-2</v>
      </c>
      <c r="E149" s="13">
        <v>5.5660000000000001E-2</v>
      </c>
      <c r="F149" s="13">
        <v>6.1373999999999998E-2</v>
      </c>
      <c r="G149" s="13">
        <v>6.0356E-2</v>
      </c>
      <c r="H149" s="13">
        <v>5.7813000000000003E-2</v>
      </c>
      <c r="I149" s="12">
        <v>5.9533999999999997E-2</v>
      </c>
      <c r="J149" s="12">
        <v>6.0470000000000003E-2</v>
      </c>
      <c r="K149" s="12">
        <v>5.9964999999999997E-2</v>
      </c>
      <c r="L149" s="12">
        <v>6.0360999999999998E-2</v>
      </c>
      <c r="M149" s="12">
        <v>6.2814999999999996E-2</v>
      </c>
      <c r="N149" s="41">
        <f t="shared" si="3"/>
        <v>0.70406499999999994</v>
      </c>
    </row>
    <row r="150" spans="1:14" ht="14.4" x14ac:dyDescent="0.55000000000000004">
      <c r="A150" s="8" t="s">
        <v>22</v>
      </c>
      <c r="B150" s="13">
        <v>5.6605000000000003E-2</v>
      </c>
      <c r="C150" s="13">
        <v>5.5195000000000001E-2</v>
      </c>
      <c r="D150" s="13">
        <v>5.3666999999999999E-2</v>
      </c>
      <c r="E150" s="13">
        <v>5.5225999999999997E-2</v>
      </c>
      <c r="F150" s="13">
        <v>6.1209E-2</v>
      </c>
      <c r="G150" s="13">
        <v>6.0395999999999998E-2</v>
      </c>
      <c r="H150" s="13">
        <v>5.8355999999999998E-2</v>
      </c>
      <c r="I150" s="12">
        <v>5.9624000000000003E-2</v>
      </c>
      <c r="J150" s="12">
        <v>6.0468000000000001E-2</v>
      </c>
      <c r="K150" s="12">
        <v>5.9894000000000003E-2</v>
      </c>
      <c r="L150" s="12">
        <v>6.0294E-2</v>
      </c>
      <c r="M150" s="12">
        <v>6.3842999999999997E-2</v>
      </c>
      <c r="N150" s="41">
        <f t="shared" si="3"/>
        <v>0.70477699999999999</v>
      </c>
    </row>
    <row r="151" spans="1:14" ht="14.4" x14ac:dyDescent="0.55000000000000004">
      <c r="A151" s="25" t="s">
        <v>99</v>
      </c>
      <c r="B151" s="13">
        <v>5.6412999999999998E-2</v>
      </c>
      <c r="C151" s="13">
        <v>5.5515000000000002E-2</v>
      </c>
      <c r="D151" s="13">
        <v>5.3788999999999997E-2</v>
      </c>
      <c r="E151" s="13">
        <v>5.5209000000000001E-2</v>
      </c>
      <c r="F151" s="13">
        <v>6.1209E-2</v>
      </c>
      <c r="G151" s="13">
        <v>6.0356E-2</v>
      </c>
      <c r="H151" s="13">
        <v>0.06</v>
      </c>
      <c r="I151" s="12">
        <v>5.9624000000000003E-2</v>
      </c>
      <c r="J151" s="12">
        <v>6.0470000000000003E-2</v>
      </c>
      <c r="K151" s="12">
        <v>0.06</v>
      </c>
      <c r="L151" s="12">
        <v>0.06</v>
      </c>
      <c r="M151" s="12">
        <v>6.2376000000000001E-2</v>
      </c>
    </row>
    <row r="152" spans="1:14" ht="14.4" x14ac:dyDescent="0.55000000000000004">
      <c r="A152" s="25"/>
      <c r="B152" s="13"/>
      <c r="C152" s="13"/>
      <c r="D152" s="13"/>
      <c r="E152" s="13"/>
      <c r="F152" s="13"/>
      <c r="G152" s="13"/>
      <c r="H152" s="13"/>
      <c r="I152" s="12"/>
      <c r="J152" s="12"/>
      <c r="K152" s="12"/>
      <c r="L152" s="12"/>
      <c r="M152" s="12"/>
    </row>
    <row r="153" spans="1:14" ht="14.4" x14ac:dyDescent="0.55000000000000004">
      <c r="A153" s="25"/>
      <c r="B153" s="13"/>
      <c r="C153" s="13"/>
      <c r="D153" s="13"/>
      <c r="E153" s="13"/>
      <c r="F153" s="13"/>
      <c r="G153" s="13"/>
      <c r="H153" s="13"/>
      <c r="I153" s="12"/>
      <c r="J153" s="12"/>
      <c r="K153" s="12"/>
      <c r="L153" s="12"/>
      <c r="M153" s="12"/>
    </row>
    <row r="154" spans="1:14" ht="14.4" x14ac:dyDescent="0.55000000000000004">
      <c r="A154" s="25"/>
      <c r="B154" s="13"/>
      <c r="C154" s="13"/>
      <c r="D154" s="13"/>
      <c r="E154" s="13"/>
      <c r="F154" s="13"/>
      <c r="G154" s="13"/>
      <c r="H154" s="13"/>
      <c r="I154" s="12"/>
      <c r="J154" s="12"/>
      <c r="K154" s="12"/>
      <c r="L154" s="12"/>
      <c r="M154" s="12"/>
    </row>
    <row r="155" spans="1:14" ht="14.4" x14ac:dyDescent="0.55000000000000004">
      <c r="A155" s="25"/>
      <c r="B155" s="13"/>
      <c r="C155" s="13"/>
      <c r="D155" s="13"/>
      <c r="E155" s="13"/>
      <c r="F155" s="13"/>
      <c r="G155" s="13"/>
      <c r="H155" s="13"/>
      <c r="I155" s="12"/>
      <c r="J155" s="12"/>
      <c r="K155" s="12"/>
      <c r="L155" s="12"/>
      <c r="M155" s="12"/>
    </row>
    <row r="156" spans="1:14" ht="14.4" x14ac:dyDescent="0.55000000000000004">
      <c r="A156" s="25"/>
      <c r="B156" s="13"/>
      <c r="C156" s="13"/>
      <c r="D156" s="13"/>
      <c r="E156" s="13"/>
      <c r="F156" s="13"/>
      <c r="G156" s="13"/>
      <c r="H156" s="13"/>
      <c r="I156" s="12"/>
      <c r="J156" s="12"/>
      <c r="K156" s="12"/>
      <c r="L156" s="12"/>
      <c r="M156" s="12"/>
    </row>
    <row r="157" spans="1:14" ht="14.4" x14ac:dyDescent="0.55000000000000004">
      <c r="A157" s="25"/>
      <c r="B157" s="13"/>
      <c r="C157" s="13"/>
      <c r="D157" s="13"/>
      <c r="E157" s="13"/>
      <c r="F157" s="13"/>
      <c r="G157" s="13"/>
      <c r="H157" s="13"/>
      <c r="I157" s="12"/>
      <c r="J157" s="12"/>
      <c r="K157" s="12"/>
      <c r="L157" s="12"/>
      <c r="M157" s="12"/>
    </row>
    <row r="158" spans="1:14" ht="14.4" x14ac:dyDescent="0.55000000000000004">
      <c r="A158" s="25"/>
      <c r="B158" s="13"/>
      <c r="C158" s="13"/>
      <c r="D158" s="13"/>
      <c r="E158" s="13"/>
      <c r="F158" s="13"/>
      <c r="G158" s="13"/>
      <c r="H158" s="13"/>
      <c r="I158" s="12"/>
      <c r="J158" s="12"/>
      <c r="K158" s="12"/>
      <c r="L158" s="12"/>
      <c r="M158" s="12"/>
    </row>
    <row r="159" spans="1:14" ht="14.4" x14ac:dyDescent="0.55000000000000004">
      <c r="A159" s="25"/>
      <c r="B159" s="13"/>
      <c r="C159" s="13"/>
      <c r="D159" s="13"/>
      <c r="E159" s="13"/>
      <c r="F159" s="13"/>
      <c r="G159" s="13"/>
      <c r="H159" s="13"/>
      <c r="I159" s="12"/>
      <c r="J159" s="12"/>
      <c r="K159" s="12"/>
      <c r="L159" s="12"/>
      <c r="M159" s="12"/>
    </row>
    <row r="160" spans="1:14" ht="14.4" x14ac:dyDescent="0.55000000000000004">
      <c r="A160" s="25"/>
      <c r="B160" s="13"/>
      <c r="C160" s="13"/>
      <c r="D160" s="13"/>
      <c r="E160" s="13"/>
      <c r="F160" s="13"/>
      <c r="G160" s="13"/>
      <c r="H160" s="13"/>
      <c r="I160" s="12"/>
      <c r="J160" s="12"/>
      <c r="K160" s="12"/>
      <c r="L160" s="12"/>
      <c r="M160" s="12"/>
    </row>
    <row r="161" spans="1:14" ht="30.3" x14ac:dyDescent="1">
      <c r="A161" s="26" t="s">
        <v>35</v>
      </c>
      <c r="B161" s="7"/>
      <c r="C161" s="7"/>
      <c r="D161" s="6"/>
      <c r="E161" s="6"/>
      <c r="F161" s="7"/>
      <c r="G161" s="6"/>
      <c r="H161" s="7"/>
    </row>
    <row r="162" spans="1:14" ht="15.3" x14ac:dyDescent="0.55000000000000004">
      <c r="A162" s="29"/>
      <c r="B162" s="7"/>
      <c r="C162" s="7"/>
      <c r="D162" s="6"/>
      <c r="E162" s="6"/>
      <c r="F162" s="7"/>
      <c r="G162" s="6"/>
      <c r="H162" s="7"/>
    </row>
    <row r="163" spans="1:14" ht="15" x14ac:dyDescent="0.5">
      <c r="A163" s="28" t="s">
        <v>1</v>
      </c>
      <c r="B163" s="3" t="s">
        <v>2</v>
      </c>
      <c r="C163" s="3" t="s">
        <v>3</v>
      </c>
      <c r="D163" s="3" t="s">
        <v>4</v>
      </c>
      <c r="E163" s="3" t="s">
        <v>5</v>
      </c>
      <c r="F163" s="3" t="s">
        <v>6</v>
      </c>
      <c r="G163" s="3" t="s">
        <v>7</v>
      </c>
      <c r="H163" s="3" t="s">
        <v>8</v>
      </c>
      <c r="I163" s="3" t="s">
        <v>9</v>
      </c>
      <c r="J163" s="3" t="s">
        <v>10</v>
      </c>
      <c r="K163" s="3" t="s">
        <v>11</v>
      </c>
      <c r="L163" s="3" t="s">
        <v>12</v>
      </c>
      <c r="M163" s="4">
        <v>151676</v>
      </c>
    </row>
    <row r="164" spans="1:14" ht="14.4" x14ac:dyDescent="0.55000000000000004">
      <c r="A164" s="5" t="s">
        <v>13</v>
      </c>
      <c r="B164" s="7">
        <v>0.30856600000000001</v>
      </c>
      <c r="C164" s="7">
        <v>0.23677000000000001</v>
      </c>
      <c r="D164" s="7">
        <v>4.3642E-2</v>
      </c>
      <c r="E164" s="7">
        <v>0.19011700000000001</v>
      </c>
      <c r="F164" s="7">
        <v>7.2385000000000005E-2</v>
      </c>
      <c r="G164" s="7">
        <v>0.19754099999999999</v>
      </c>
      <c r="H164" s="7">
        <v>9.0510999999999994E-2</v>
      </c>
      <c r="I164" s="7">
        <v>5.7534000000000002E-2</v>
      </c>
      <c r="J164" s="7">
        <v>3.9296999999999999E-2</v>
      </c>
      <c r="K164" s="7">
        <v>2.8587000000000001E-2</v>
      </c>
      <c r="L164" s="7">
        <v>0.14003299999999999</v>
      </c>
      <c r="M164" s="7">
        <v>0.218497</v>
      </c>
      <c r="N164" s="41">
        <f>SUM(B164:M164)</f>
        <v>1.6234799999999998</v>
      </c>
    </row>
    <row r="165" spans="1:14" ht="14.4" x14ac:dyDescent="0.55000000000000004">
      <c r="A165" s="5" t="s">
        <v>14</v>
      </c>
      <c r="B165" s="7">
        <v>6.5861000000000003E-2</v>
      </c>
      <c r="C165" s="7">
        <v>5.2042999999999999E-2</v>
      </c>
      <c r="D165" s="7">
        <v>5.2631999999999998E-2</v>
      </c>
      <c r="E165" s="7">
        <v>5.0054000000000001E-2</v>
      </c>
      <c r="F165" s="7">
        <v>3.9878999999999998E-2</v>
      </c>
      <c r="G165" s="7">
        <v>9.0700000000000003E-2</v>
      </c>
      <c r="H165" s="7">
        <v>4.9841000000000003E-2</v>
      </c>
      <c r="I165" s="7">
        <v>4.7324999999999999E-2</v>
      </c>
      <c r="J165" s="7">
        <v>3.2400999999999999E-2</v>
      </c>
      <c r="K165" s="7">
        <v>2.7785000000000001E-2</v>
      </c>
      <c r="L165" s="7">
        <v>4.4867999999999998E-2</v>
      </c>
      <c r="M165" s="7">
        <v>7.4321999999999999E-2</v>
      </c>
      <c r="N165" s="41">
        <f t="shared" ref="N165:N184" si="4">SUM(B165:M165)</f>
        <v>0.62771100000000002</v>
      </c>
    </row>
    <row r="166" spans="1:14" ht="12.3" x14ac:dyDescent="0.4">
      <c r="A166" s="5" t="s">
        <v>15</v>
      </c>
      <c r="B166" s="6">
        <v>1.4907714150496E-2</v>
      </c>
      <c r="C166" s="6">
        <v>1.9388686131386001E-2</v>
      </c>
      <c r="D166" s="6">
        <v>1.9837126748798999E-2</v>
      </c>
      <c r="E166" s="6">
        <v>2.2658610271902999E-2</v>
      </c>
      <c r="F166" s="6">
        <v>2.9773285987434998E-2</v>
      </c>
      <c r="G166" s="6">
        <v>2.7444253859348001E-2</v>
      </c>
      <c r="H166" s="6">
        <v>1.4841849148418001E-2</v>
      </c>
      <c r="I166" s="6">
        <v>2.6899128268991001E-2</v>
      </c>
      <c r="J166" s="6">
        <v>2.5281670788678001E-2</v>
      </c>
      <c r="K166" s="6">
        <v>3.5665668390960997E-2</v>
      </c>
      <c r="L166" s="6">
        <v>2.0044543429843999E-2</v>
      </c>
      <c r="M166" s="6">
        <v>2.3988439306357998E-2</v>
      </c>
      <c r="N166" s="41">
        <f t="shared" si="4"/>
        <v>0.28073097648261702</v>
      </c>
    </row>
    <row r="167" spans="1:14" ht="12.3" x14ac:dyDescent="0.4">
      <c r="A167" s="5" t="s">
        <v>16</v>
      </c>
      <c r="B167" s="6">
        <v>3.9044013251301003E-2</v>
      </c>
      <c r="C167" s="6">
        <v>3.3987226277372003E-2</v>
      </c>
      <c r="D167" s="6">
        <v>4.0509500939652998E-2</v>
      </c>
      <c r="E167" s="6">
        <v>3.6685369011653E-2</v>
      </c>
      <c r="F167" s="6">
        <v>4.4250204862059002E-2</v>
      </c>
      <c r="G167" s="6">
        <v>3.9736992567181002E-2</v>
      </c>
      <c r="H167" s="6">
        <v>3.4306569343065002E-2</v>
      </c>
      <c r="I167" s="6">
        <v>4.5579078455789998E-2</v>
      </c>
      <c r="J167" s="6">
        <v>3.1052486946962998E-2</v>
      </c>
      <c r="K167" s="6">
        <v>3.2398584263544E-2</v>
      </c>
      <c r="L167" s="6">
        <v>3.1180400890868001E-2</v>
      </c>
      <c r="M167" s="6">
        <v>3.9017341040461999E-2</v>
      </c>
      <c r="N167" s="41">
        <f t="shared" si="4"/>
        <v>0.44774776784991099</v>
      </c>
    </row>
    <row r="168" spans="1:14" ht="14.4" x14ac:dyDescent="0.55000000000000004">
      <c r="A168" s="5" t="s">
        <v>17</v>
      </c>
      <c r="B168" s="7">
        <v>0.124704</v>
      </c>
      <c r="C168" s="7">
        <v>0.13366800000000001</v>
      </c>
      <c r="D168" s="7">
        <v>0.15055299999999999</v>
      </c>
      <c r="E168" s="7">
        <v>0.17199</v>
      </c>
      <c r="F168" s="7">
        <v>0.136848</v>
      </c>
      <c r="G168" s="7">
        <v>0.16180700000000001</v>
      </c>
      <c r="H168" s="7">
        <v>0.14136299999999999</v>
      </c>
      <c r="I168" s="7">
        <v>0.115816</v>
      </c>
      <c r="J168" s="7">
        <v>8.3814E-2</v>
      </c>
      <c r="K168" s="7">
        <v>9.7739999999999994E-2</v>
      </c>
      <c r="L168" s="7">
        <v>0.14560100000000001</v>
      </c>
      <c r="M168" s="7">
        <v>0.110694</v>
      </c>
      <c r="N168" s="41">
        <f t="shared" si="4"/>
        <v>1.5745979999999999</v>
      </c>
    </row>
    <row r="169" spans="1:14" ht="12.3" x14ac:dyDescent="0.4">
      <c r="A169" s="5" t="s">
        <v>18</v>
      </c>
      <c r="B169" s="6">
        <v>9.7133380715470202E-3</v>
      </c>
      <c r="C169" s="6">
        <v>1.3467244921250799E-2</v>
      </c>
      <c r="D169" s="6">
        <v>1.4619883040935601E-2</v>
      </c>
      <c r="E169" s="6">
        <v>8.9227421109902005E-3</v>
      </c>
      <c r="F169" s="6">
        <v>1.12761276127612E-2</v>
      </c>
      <c r="G169" s="6">
        <v>1.57864523536165E-2</v>
      </c>
      <c r="H169" s="6">
        <v>1.5392132909846E-2</v>
      </c>
      <c r="I169" s="6">
        <v>1.51748971193415E-2</v>
      </c>
      <c r="J169" s="6">
        <v>2.10468014400443E-2</v>
      </c>
      <c r="K169" s="6">
        <v>1.7331499312242E-2</v>
      </c>
      <c r="L169" s="6">
        <v>2.4397083567021801E-2</v>
      </c>
      <c r="M169" s="6">
        <v>2.2150976391722501E-2</v>
      </c>
      <c r="N169" s="41">
        <f t="shared" si="4"/>
        <v>0.18927917885131945</v>
      </c>
    </row>
    <row r="170" spans="1:14" ht="14.4" x14ac:dyDescent="0.55000000000000004">
      <c r="A170" s="5" t="s">
        <v>19</v>
      </c>
      <c r="B170" s="7">
        <v>1.8005E-2</v>
      </c>
      <c r="C170" s="7">
        <v>3.3326000000000001E-2</v>
      </c>
      <c r="D170" s="7">
        <v>1.1487000000000001E-2</v>
      </c>
      <c r="E170" s="7">
        <v>2.0674999999999999E-2</v>
      </c>
      <c r="F170" s="7">
        <v>1.8152000000000001E-2</v>
      </c>
      <c r="G170" s="7">
        <v>1.5212E-2</v>
      </c>
      <c r="H170" s="7">
        <v>2.8341000000000002E-2</v>
      </c>
      <c r="I170" s="7">
        <v>1.3292999999999999E-2</v>
      </c>
      <c r="J170" s="7">
        <v>2.5463E-2</v>
      </c>
      <c r="K170" s="7">
        <v>1.5681E-2</v>
      </c>
      <c r="L170" s="7">
        <v>2.4677999999999999E-2</v>
      </c>
      <c r="M170" s="7">
        <v>2.4774000000000001E-2</v>
      </c>
      <c r="N170" s="41">
        <f t="shared" si="4"/>
        <v>0.249087</v>
      </c>
    </row>
    <row r="171" spans="1:14" ht="14.4" x14ac:dyDescent="0.55000000000000004">
      <c r="A171" s="8" t="s">
        <v>100</v>
      </c>
      <c r="B171" s="30" t="s">
        <v>36</v>
      </c>
      <c r="C171" s="13">
        <v>0</v>
      </c>
      <c r="D171" s="13">
        <v>0.02</v>
      </c>
      <c r="E171" s="13">
        <v>0.01</v>
      </c>
      <c r="F171" s="13">
        <v>0.02</v>
      </c>
      <c r="G171" s="13">
        <v>0.01</v>
      </c>
      <c r="H171" s="13">
        <v>0.02</v>
      </c>
      <c r="I171" s="13">
        <v>0.01</v>
      </c>
      <c r="J171" s="12">
        <v>0.01</v>
      </c>
      <c r="K171" s="12">
        <v>0.01</v>
      </c>
      <c r="L171" s="12">
        <v>0.01</v>
      </c>
      <c r="M171" s="12">
        <v>0.02</v>
      </c>
      <c r="N171" s="41">
        <f t="shared" si="4"/>
        <v>0.13999999999999999</v>
      </c>
    </row>
    <row r="172" spans="1:14" ht="14.4" x14ac:dyDescent="0.55000000000000004">
      <c r="A172" s="10" t="s">
        <v>106</v>
      </c>
      <c r="B172" s="30" t="s">
        <v>37</v>
      </c>
      <c r="C172" s="13">
        <v>2.4652E-2</v>
      </c>
      <c r="D172" s="13">
        <v>1.7335E-2</v>
      </c>
      <c r="E172" s="13">
        <v>3.8738000000000002E-2</v>
      </c>
      <c r="F172" s="13">
        <v>2.1727E-2</v>
      </c>
      <c r="G172" s="13">
        <v>2.0379000000000001E-2</v>
      </c>
      <c r="H172" s="13">
        <v>1.4171E-2</v>
      </c>
      <c r="I172" s="13">
        <v>1.6975000000000001E-2</v>
      </c>
      <c r="J172" s="12">
        <v>2.1323999999999999E-2</v>
      </c>
      <c r="K172" s="12">
        <v>2.1183E-2</v>
      </c>
      <c r="L172" s="12">
        <v>1.8228000000000001E-2</v>
      </c>
      <c r="M172" s="12">
        <v>2.6231000000000001E-2</v>
      </c>
      <c r="N172" s="41">
        <f t="shared" si="4"/>
        <v>0.24094299999999999</v>
      </c>
    </row>
    <row r="173" spans="1:14" ht="14.4" x14ac:dyDescent="0.55000000000000004">
      <c r="A173" s="10" t="s">
        <v>107</v>
      </c>
      <c r="B173" s="30" t="s">
        <v>38</v>
      </c>
      <c r="C173" s="13">
        <v>2.5107999999999998E-2</v>
      </c>
      <c r="D173" s="13">
        <v>1.2949E-2</v>
      </c>
      <c r="E173" s="13">
        <v>2.0892000000000001E-2</v>
      </c>
      <c r="F173" s="13">
        <v>1.7877000000000001E-2</v>
      </c>
      <c r="G173" s="13">
        <v>1.9231000000000002E-2</v>
      </c>
      <c r="H173" s="13">
        <v>1.5636000000000001E-2</v>
      </c>
      <c r="I173" s="13">
        <v>1.1317000000000001E-2</v>
      </c>
      <c r="J173" s="12">
        <v>1.6062E-2</v>
      </c>
      <c r="K173" s="12">
        <v>1.4855999999999999E-2</v>
      </c>
      <c r="L173" s="12">
        <v>2.4677999999999999E-2</v>
      </c>
      <c r="M173" s="12">
        <v>1.7779E-2</v>
      </c>
      <c r="N173" s="41">
        <f t="shared" si="4"/>
        <v>0.196385</v>
      </c>
    </row>
    <row r="174" spans="1:14" ht="14.4" x14ac:dyDescent="0.55000000000000004">
      <c r="A174" s="10" t="s">
        <v>108</v>
      </c>
      <c r="B174" s="30" t="s">
        <v>39</v>
      </c>
      <c r="C174" s="13">
        <v>2.3054000000000002E-2</v>
      </c>
      <c r="D174" s="13">
        <v>1.9841000000000001E-2</v>
      </c>
      <c r="E174" s="13">
        <v>2.7855999999999999E-2</v>
      </c>
      <c r="F174" s="13">
        <v>4.9500000000000004E-3</v>
      </c>
      <c r="G174" s="13">
        <v>5.5108999999999998E-2</v>
      </c>
      <c r="H174" s="13">
        <v>1.4903E-2</v>
      </c>
      <c r="I174" s="13">
        <v>1.3632E-2</v>
      </c>
      <c r="J174" s="12">
        <v>3.6277999999999998E-2</v>
      </c>
      <c r="K174" s="12">
        <v>5.8047000000000001E-2</v>
      </c>
      <c r="L174" s="12">
        <v>3.0565999999999999E-2</v>
      </c>
      <c r="M174" s="12">
        <v>1.4282E-2</v>
      </c>
      <c r="N174" s="41">
        <f t="shared" si="4"/>
        <v>0.29851800000000001</v>
      </c>
    </row>
    <row r="175" spans="1:14" ht="14.4" x14ac:dyDescent="0.55000000000000004">
      <c r="A175" s="10" t="s">
        <v>109</v>
      </c>
      <c r="B175" s="30" t="s">
        <v>40</v>
      </c>
      <c r="C175" s="13">
        <v>3.0130000000000001E-2</v>
      </c>
      <c r="D175" s="13">
        <v>1.4619999999999999E-2</v>
      </c>
      <c r="E175" s="13">
        <v>2.7203000000000001E-2</v>
      </c>
      <c r="F175" s="13">
        <v>5.4179999999999999E-2</v>
      </c>
      <c r="G175" s="13">
        <v>8.6110000000000006E-3</v>
      </c>
      <c r="H175" s="13">
        <v>4.471E-2</v>
      </c>
      <c r="I175" s="13">
        <v>1.0031E-2</v>
      </c>
      <c r="J175" s="12">
        <v>2.4924000000000002E-2</v>
      </c>
      <c r="K175" s="12">
        <v>4.4567000000000002E-2</v>
      </c>
      <c r="L175" s="12">
        <v>3.1407999999999998E-2</v>
      </c>
      <c r="M175" s="12">
        <v>4.8965000000000002E-2</v>
      </c>
      <c r="N175" s="41">
        <f t="shared" si="4"/>
        <v>0.33934900000000001</v>
      </c>
    </row>
    <row r="176" spans="1:14" ht="14.4" x14ac:dyDescent="0.55000000000000004">
      <c r="A176" s="10" t="s">
        <v>110</v>
      </c>
      <c r="B176" s="30" t="s">
        <v>41</v>
      </c>
      <c r="C176" s="13">
        <v>2.3966999999999999E-2</v>
      </c>
      <c r="D176" s="13">
        <v>2.2765000000000001E-2</v>
      </c>
      <c r="E176" s="13">
        <v>1.6757000000000001E-2</v>
      </c>
      <c r="F176" s="13">
        <v>1.5677E-2</v>
      </c>
      <c r="G176" s="13">
        <v>4.1619000000000003E-2</v>
      </c>
      <c r="H176" s="13">
        <v>4.0067999999999999E-2</v>
      </c>
      <c r="I176" s="13">
        <v>2.6235000000000001E-2</v>
      </c>
      <c r="J176" s="12">
        <v>1.9108E-2</v>
      </c>
      <c r="K176" s="12">
        <v>5.4746000000000003E-2</v>
      </c>
      <c r="L176" s="12">
        <v>3.4492000000000002E-2</v>
      </c>
      <c r="M176" s="12">
        <v>2.2442E-2</v>
      </c>
      <c r="N176" s="41">
        <f t="shared" si="4"/>
        <v>0.31787600000000005</v>
      </c>
    </row>
    <row r="177" spans="1:14" ht="14.4" x14ac:dyDescent="0.55000000000000004">
      <c r="A177" s="10" t="s">
        <v>111</v>
      </c>
      <c r="B177" s="30" t="s">
        <v>42</v>
      </c>
      <c r="C177" s="13">
        <v>2.5565000000000001E-2</v>
      </c>
      <c r="D177" s="13">
        <v>1.8379E-2</v>
      </c>
      <c r="E177" s="13">
        <v>2.6551000000000002E-2</v>
      </c>
      <c r="F177" s="13">
        <v>6.8760000000000002E-3</v>
      </c>
      <c r="G177" s="13">
        <v>2.8702999999999999E-2</v>
      </c>
      <c r="H177" s="13">
        <v>5.5948999999999999E-2</v>
      </c>
      <c r="I177" s="13">
        <v>3.9351999999999998E-2</v>
      </c>
      <c r="J177" s="12">
        <v>3.2124E-2</v>
      </c>
      <c r="K177" s="12">
        <v>4.3741000000000002E-2</v>
      </c>
      <c r="L177" s="12">
        <v>4.7953000000000003E-2</v>
      </c>
      <c r="M177" s="12">
        <v>5.0423000000000003E-2</v>
      </c>
      <c r="N177" s="41">
        <f t="shared" si="4"/>
        <v>0.37561600000000006</v>
      </c>
    </row>
    <row r="178" spans="1:14" ht="14.4" x14ac:dyDescent="0.55000000000000004">
      <c r="A178" s="14" t="s">
        <v>112</v>
      </c>
      <c r="B178" s="30" t="s">
        <v>43</v>
      </c>
      <c r="C178" s="13">
        <v>1.8945E-2</v>
      </c>
      <c r="D178" s="13">
        <v>1.7125999999999999E-2</v>
      </c>
      <c r="E178" s="13">
        <v>1.5668999999999999E-2</v>
      </c>
      <c r="F178" s="13">
        <v>1.2651000000000001E-2</v>
      </c>
      <c r="G178" s="13">
        <v>1.7795999999999999E-2</v>
      </c>
      <c r="H178" s="13">
        <v>2.4431999999999999E-2</v>
      </c>
      <c r="I178" s="13">
        <v>1.0545000000000001E-2</v>
      </c>
      <c r="J178" s="12">
        <v>1.4123999999999999E-2</v>
      </c>
      <c r="K178" s="12">
        <v>1.7330999999999999E-2</v>
      </c>
      <c r="L178" s="12">
        <v>1.8508E-2</v>
      </c>
      <c r="M178" s="12">
        <v>2.7688999999999998E-2</v>
      </c>
      <c r="N178" s="41">
        <f t="shared" si="4"/>
        <v>0.19481599999999999</v>
      </c>
    </row>
    <row r="179" spans="1:14" ht="14.4" x14ac:dyDescent="0.55000000000000004">
      <c r="A179" s="15" t="s">
        <v>113</v>
      </c>
      <c r="B179" s="30" t="s">
        <v>44</v>
      </c>
      <c r="C179" s="13">
        <v>9.3589999999999993E-3</v>
      </c>
      <c r="D179" s="13">
        <v>9.3980000000000001E-3</v>
      </c>
      <c r="E179" s="13">
        <v>7.3990000000000002E-3</v>
      </c>
      <c r="F179" s="13">
        <v>1.0725999999999999E-2</v>
      </c>
      <c r="G179" s="13">
        <v>1.2055E-2</v>
      </c>
      <c r="H179" s="13">
        <v>1.4415000000000001E-2</v>
      </c>
      <c r="I179" s="13">
        <v>9.5160000000000002E-3</v>
      </c>
      <c r="J179" s="12">
        <v>2.4924000000000002E-2</v>
      </c>
      <c r="K179" s="12">
        <v>1.0179000000000001E-2</v>
      </c>
      <c r="L179" s="12">
        <v>7.5719999999999997E-3</v>
      </c>
      <c r="M179" s="12">
        <v>1.2533000000000001E-2</v>
      </c>
      <c r="N179" s="41">
        <f t="shared" si="4"/>
        <v>0.12807599999999997</v>
      </c>
    </row>
    <row r="180" spans="1:14" ht="14.4" x14ac:dyDescent="0.55000000000000004">
      <c r="A180" s="16" t="s">
        <v>114</v>
      </c>
      <c r="B180" s="30" t="s">
        <v>45</v>
      </c>
      <c r="C180" s="13">
        <v>1.3011E-2</v>
      </c>
      <c r="D180" s="13">
        <v>1.8588E-2</v>
      </c>
      <c r="E180" s="13">
        <v>1.7193E-2</v>
      </c>
      <c r="F180" s="13">
        <v>1.1551000000000001E-2</v>
      </c>
      <c r="G180" s="13">
        <v>1.6361000000000001E-2</v>
      </c>
      <c r="H180" s="13">
        <v>2.3942999999999999E-2</v>
      </c>
      <c r="I180" s="13">
        <v>1.0545000000000001E-2</v>
      </c>
      <c r="J180" s="12">
        <v>1.4123999999999999E-2</v>
      </c>
      <c r="K180" s="12">
        <v>2.4759E-2</v>
      </c>
      <c r="L180" s="12">
        <v>1.29E-2</v>
      </c>
      <c r="M180" s="12">
        <v>2.3608000000000001E-2</v>
      </c>
      <c r="N180" s="41">
        <f t="shared" si="4"/>
        <v>0.18658299999999997</v>
      </c>
    </row>
    <row r="181" spans="1:14" ht="14.4" x14ac:dyDescent="0.55000000000000004">
      <c r="A181" s="8" t="s">
        <v>115</v>
      </c>
      <c r="B181" s="30" t="s">
        <v>46</v>
      </c>
      <c r="C181" s="13">
        <v>1.9401999999999999E-2</v>
      </c>
      <c r="D181" s="13">
        <v>2.2556E-2</v>
      </c>
      <c r="E181" s="13">
        <v>2.6768E-2</v>
      </c>
      <c r="F181" s="13">
        <v>1.0175999999999999E-2</v>
      </c>
      <c r="G181" s="13">
        <v>1.8370000000000001E-2</v>
      </c>
      <c r="H181" s="13">
        <v>1.9300999999999999E-2</v>
      </c>
      <c r="I181" s="13">
        <v>1.2088E-2</v>
      </c>
      <c r="J181" s="12">
        <v>1.4123999999999999E-2</v>
      </c>
      <c r="K181" s="12">
        <v>1.6781000000000001E-2</v>
      </c>
      <c r="L181" s="12">
        <v>1.6265000000000002E-2</v>
      </c>
      <c r="M181" s="12">
        <v>1.7195999999999999E-2</v>
      </c>
      <c r="N181" s="41">
        <f t="shared" si="4"/>
        <v>0.19302699999999998</v>
      </c>
    </row>
    <row r="182" spans="1:14" ht="14.4" x14ac:dyDescent="0.55000000000000004">
      <c r="A182" s="10" t="s">
        <v>20</v>
      </c>
      <c r="B182" s="30" t="s">
        <v>47</v>
      </c>
      <c r="C182" s="13">
        <v>2.7619000000000001E-2</v>
      </c>
      <c r="D182" s="13">
        <v>2.2974000000000001E-2</v>
      </c>
      <c r="E182" s="13">
        <v>2.3068999999999999E-2</v>
      </c>
      <c r="F182" s="13">
        <v>1.4026E-2</v>
      </c>
      <c r="G182" s="13">
        <v>1.6648E-2</v>
      </c>
      <c r="H182" s="13">
        <v>2.2477E-2</v>
      </c>
      <c r="I182" s="13">
        <v>2.3663E-2</v>
      </c>
      <c r="J182" s="12">
        <v>1.4123999999999999E-2</v>
      </c>
      <c r="K182" s="12">
        <v>2.3658999999999999E-2</v>
      </c>
      <c r="L182" s="12">
        <v>1.5984000000000002E-2</v>
      </c>
      <c r="M182" s="12">
        <v>2.0402E-2</v>
      </c>
      <c r="N182" s="41">
        <f t="shared" si="4"/>
        <v>0.22464500000000001</v>
      </c>
    </row>
    <row r="183" spans="1:14" ht="14.4" x14ac:dyDescent="0.55000000000000004">
      <c r="A183" s="8" t="s">
        <v>21</v>
      </c>
      <c r="B183" s="30" t="s">
        <v>48</v>
      </c>
      <c r="C183" s="13">
        <v>4.5879999999999997E-2</v>
      </c>
      <c r="D183" s="13">
        <v>3.0492999999999999E-2</v>
      </c>
      <c r="E183" s="13">
        <v>7.1164000000000005E-2</v>
      </c>
      <c r="F183" s="13">
        <v>1.4300999999999999E-2</v>
      </c>
      <c r="G183" s="13">
        <v>1.9518000000000001E-2</v>
      </c>
      <c r="H183" s="13">
        <v>1.4415000000000001E-2</v>
      </c>
      <c r="I183" s="13">
        <v>1.0802000000000001E-2</v>
      </c>
      <c r="J183" s="12">
        <v>1.44E-2</v>
      </c>
      <c r="K183" s="12">
        <v>2.2008E-2</v>
      </c>
      <c r="L183" s="12">
        <v>2.8603E-2</v>
      </c>
      <c r="M183" s="12">
        <v>2.7397000000000001E-2</v>
      </c>
      <c r="N183" s="41">
        <f t="shared" si="4"/>
        <v>0.29898100000000005</v>
      </c>
    </row>
    <row r="184" spans="1:14" ht="14.4" x14ac:dyDescent="0.55000000000000004">
      <c r="A184" s="8" t="s">
        <v>22</v>
      </c>
      <c r="B184" s="30" t="s">
        <v>49</v>
      </c>
      <c r="C184" s="13">
        <v>2.4424000000000001E-2</v>
      </c>
      <c r="D184" s="13">
        <v>2.4435999999999999E-2</v>
      </c>
      <c r="E184" s="13">
        <v>1.5668999999999999E-2</v>
      </c>
      <c r="F184" s="13">
        <v>1.2651000000000001E-2</v>
      </c>
      <c r="G184" s="13">
        <v>1.8657E-2</v>
      </c>
      <c r="H184" s="13">
        <v>1.3193E-2</v>
      </c>
      <c r="I184" s="13">
        <v>2.0833000000000001E-2</v>
      </c>
      <c r="J184" s="12">
        <v>1.1354E-2</v>
      </c>
      <c r="K184" s="12">
        <v>2.3658999999999999E-2</v>
      </c>
      <c r="L184" s="12">
        <v>1.1778E-2</v>
      </c>
      <c r="M184" s="12">
        <v>3.9056E-2</v>
      </c>
      <c r="N184" s="41">
        <f t="shared" si="4"/>
        <v>0.21571000000000004</v>
      </c>
    </row>
    <row r="185" spans="1:14" ht="14.4" x14ac:dyDescent="0.55000000000000004">
      <c r="A185" s="25" t="s">
        <v>99</v>
      </c>
      <c r="B185" s="30" t="s">
        <v>48</v>
      </c>
      <c r="C185" s="13">
        <v>4.5879999999999997E-2</v>
      </c>
      <c r="D185" s="13">
        <v>3.0492999999999999E-2</v>
      </c>
      <c r="E185" s="13">
        <v>2.6768E-2</v>
      </c>
      <c r="F185" s="13">
        <v>1.2651000000000001E-2</v>
      </c>
      <c r="G185" s="13">
        <v>1.9518000000000001E-2</v>
      </c>
      <c r="H185" s="13">
        <v>0.02</v>
      </c>
      <c r="I185" s="13">
        <v>2.0833000000000001E-2</v>
      </c>
      <c r="J185" s="12">
        <v>1.44E-2</v>
      </c>
      <c r="K185" s="12">
        <v>0.01</v>
      </c>
      <c r="L185" s="12">
        <v>0.01</v>
      </c>
      <c r="M185" s="12">
        <v>1.7195999999999999E-2</v>
      </c>
    </row>
    <row r="186" spans="1:14" ht="14.4" x14ac:dyDescent="0.55000000000000004">
      <c r="A186" s="25"/>
      <c r="B186" s="30"/>
      <c r="C186" s="13"/>
      <c r="D186" s="13"/>
      <c r="E186" s="13"/>
      <c r="F186" s="13"/>
      <c r="G186" s="13"/>
      <c r="H186" s="13"/>
      <c r="I186" s="13"/>
      <c r="J186" s="12"/>
      <c r="K186" s="12"/>
      <c r="L186" s="12"/>
      <c r="M186" s="12"/>
    </row>
    <row r="187" spans="1:14" ht="14.4" x14ac:dyDescent="0.55000000000000004">
      <c r="A187" s="25"/>
      <c r="B187" s="30"/>
      <c r="C187" s="13"/>
      <c r="D187" s="13"/>
      <c r="E187" s="13"/>
      <c r="F187" s="13"/>
      <c r="G187" s="13"/>
      <c r="H187" s="13"/>
      <c r="I187" s="13"/>
      <c r="J187" s="12"/>
      <c r="K187" s="12"/>
      <c r="L187" s="12"/>
      <c r="M187" s="12"/>
    </row>
    <row r="188" spans="1:14" ht="14.4" x14ac:dyDescent="0.55000000000000004">
      <c r="A188" s="25"/>
      <c r="B188" s="30"/>
      <c r="C188" s="13"/>
      <c r="D188" s="13"/>
      <c r="E188" s="13"/>
      <c r="F188" s="13"/>
      <c r="G188" s="13"/>
      <c r="H188" s="13"/>
      <c r="I188" s="13"/>
      <c r="J188" s="12"/>
      <c r="K188" s="12"/>
      <c r="L188" s="12"/>
      <c r="M188" s="12"/>
    </row>
    <row r="189" spans="1:14" ht="14.4" x14ac:dyDescent="0.55000000000000004">
      <c r="A189" s="25"/>
      <c r="B189" s="30"/>
      <c r="C189" s="13"/>
      <c r="D189" s="13"/>
      <c r="E189" s="13"/>
      <c r="F189" s="13"/>
      <c r="G189" s="13"/>
      <c r="H189" s="13"/>
      <c r="I189" s="13"/>
      <c r="J189" s="13">
        <f>MIN(B196:M217)</f>
        <v>-0.29485</v>
      </c>
      <c r="K189" s="12"/>
      <c r="L189" s="12"/>
      <c r="M189" s="12"/>
    </row>
    <row r="190" spans="1:14" ht="14.4" x14ac:dyDescent="0.55000000000000004">
      <c r="A190" s="25"/>
      <c r="B190" s="30"/>
      <c r="C190" s="13"/>
      <c r="D190" s="13"/>
      <c r="E190" s="13"/>
      <c r="F190" s="13"/>
      <c r="G190" s="13"/>
      <c r="H190" s="13"/>
      <c r="I190" s="13"/>
      <c r="J190" s="12"/>
      <c r="K190" s="12"/>
      <c r="L190" s="12"/>
      <c r="M190" s="12">
        <v>0.28999999999999998</v>
      </c>
    </row>
    <row r="191" spans="1:14" ht="14.4" x14ac:dyDescent="0.55000000000000004">
      <c r="A191" s="25"/>
      <c r="B191" s="30"/>
      <c r="C191" s="13"/>
      <c r="D191" s="13"/>
      <c r="E191" s="13"/>
      <c r="F191" s="13"/>
      <c r="G191" s="13"/>
      <c r="H191" s="13"/>
      <c r="I191" s="13"/>
      <c r="J191" s="12"/>
      <c r="K191" s="12"/>
      <c r="L191" s="12"/>
      <c r="M191" s="12"/>
    </row>
    <row r="192" spans="1:14" ht="14.4" x14ac:dyDescent="0.55000000000000004">
      <c r="A192" s="25"/>
      <c r="B192" s="30"/>
      <c r="C192" s="13"/>
      <c r="D192" s="13"/>
      <c r="E192" s="13"/>
      <c r="F192" s="13"/>
      <c r="G192" s="13"/>
      <c r="H192" s="13"/>
      <c r="I192" s="13"/>
      <c r="J192" s="12"/>
      <c r="K192" s="12"/>
      <c r="L192" s="12"/>
      <c r="M192" s="12"/>
    </row>
    <row r="193" spans="1:27" ht="30.3" x14ac:dyDescent="1">
      <c r="A193" s="31" t="s">
        <v>50</v>
      </c>
      <c r="B193" s="3"/>
      <c r="C193" s="7"/>
      <c r="D193" s="7"/>
      <c r="E193" s="6"/>
      <c r="F193" s="6"/>
      <c r="G193" s="7"/>
      <c r="H193" s="6"/>
      <c r="I193" s="7"/>
      <c r="O193" s="31" t="s">
        <v>50</v>
      </c>
      <c r="P193" s="3"/>
      <c r="Q193" s="7"/>
      <c r="R193" s="7"/>
      <c r="S193" s="6"/>
      <c r="T193" s="6"/>
      <c r="U193" s="7"/>
      <c r="V193" s="6"/>
      <c r="W193" s="7"/>
    </row>
    <row r="194" spans="1:27" ht="15.3" x14ac:dyDescent="0.55000000000000004">
      <c r="A194" s="24"/>
      <c r="B194" s="3"/>
      <c r="C194" s="7"/>
      <c r="D194" s="7"/>
      <c r="E194" s="6"/>
      <c r="F194" s="6"/>
      <c r="G194" s="7"/>
      <c r="H194" s="6"/>
      <c r="I194" s="7"/>
      <c r="O194" s="24"/>
      <c r="P194" s="3"/>
      <c r="Q194" s="7"/>
      <c r="R194" s="7"/>
      <c r="S194" s="6"/>
      <c r="T194" s="6"/>
      <c r="U194" s="7"/>
      <c r="V194" s="6"/>
      <c r="W194" s="7"/>
    </row>
    <row r="195" spans="1:27" ht="15" x14ac:dyDescent="0.5">
      <c r="A195" s="28" t="s">
        <v>1</v>
      </c>
      <c r="B195" s="3" t="s">
        <v>2</v>
      </c>
      <c r="C195" s="3" t="s">
        <v>3</v>
      </c>
      <c r="D195" s="3" t="s">
        <v>4</v>
      </c>
      <c r="E195" s="3" t="s">
        <v>5</v>
      </c>
      <c r="F195" s="3" t="s">
        <v>6</v>
      </c>
      <c r="G195" s="3" t="s">
        <v>7</v>
      </c>
      <c r="H195" s="3" t="s">
        <v>8</v>
      </c>
      <c r="I195" s="3" t="s">
        <v>9</v>
      </c>
      <c r="J195" s="3" t="s">
        <v>10</v>
      </c>
      <c r="K195" s="3" t="s">
        <v>11</v>
      </c>
      <c r="L195" s="3" t="s">
        <v>12</v>
      </c>
      <c r="M195" s="3" t="s">
        <v>51</v>
      </c>
      <c r="O195" s="28" t="s">
        <v>1</v>
      </c>
      <c r="P195" s="3" t="s">
        <v>2</v>
      </c>
      <c r="Q195" s="3" t="s">
        <v>3</v>
      </c>
      <c r="R195" s="3" t="s">
        <v>4</v>
      </c>
      <c r="S195" s="3" t="s">
        <v>5</v>
      </c>
      <c r="T195" s="3" t="s">
        <v>6</v>
      </c>
      <c r="U195" s="3" t="s">
        <v>7</v>
      </c>
      <c r="V195" s="3" t="s">
        <v>8</v>
      </c>
      <c r="W195" s="3" t="s">
        <v>9</v>
      </c>
      <c r="X195" s="3" t="s">
        <v>10</v>
      </c>
      <c r="Y195" s="3" t="s">
        <v>11</v>
      </c>
      <c r="Z195" s="3" t="s">
        <v>12</v>
      </c>
      <c r="AA195" s="3" t="s">
        <v>51</v>
      </c>
    </row>
    <row r="196" spans="1:27" ht="14.4" x14ac:dyDescent="0.55000000000000004">
      <c r="A196" s="5" t="s">
        <v>13</v>
      </c>
      <c r="B196" s="7">
        <v>-7.5670000000000001E-2</v>
      </c>
      <c r="C196" s="7">
        <v>-7.8200000000000006E-2</v>
      </c>
      <c r="D196" s="7">
        <v>-9.75E-3</v>
      </c>
      <c r="E196" s="7">
        <v>-5.3620000000000001E-2</v>
      </c>
      <c r="F196" s="7">
        <v>3.4014999999999997E-2</v>
      </c>
      <c r="G196" s="7">
        <v>-1.308E-2</v>
      </c>
      <c r="H196" s="7">
        <v>2.9619999999999998E-3</v>
      </c>
      <c r="I196" s="7">
        <v>5.5259999999999997E-3</v>
      </c>
      <c r="J196" s="7">
        <v>2.6492000000000002E-2</v>
      </c>
      <c r="K196" s="7">
        <v>5.2942999999999997E-2</v>
      </c>
      <c r="L196" s="7">
        <v>-4.2100000000000002E-3</v>
      </c>
      <c r="M196" s="7">
        <v>-5.7999999999999996E-3</v>
      </c>
      <c r="N196" s="41">
        <f>SUM(B196:M196)</f>
        <v>-0.11839200000000007</v>
      </c>
      <c r="O196" s="5" t="s">
        <v>13</v>
      </c>
      <c r="P196" s="12">
        <v>0.21432999999999996</v>
      </c>
      <c r="Q196" s="12">
        <v>0.21179999999999999</v>
      </c>
      <c r="R196" s="12">
        <v>0.28025</v>
      </c>
      <c r="S196" s="12">
        <v>0.23637999999999998</v>
      </c>
      <c r="T196" s="12">
        <v>0.324015</v>
      </c>
      <c r="U196" s="12">
        <v>0.27692</v>
      </c>
      <c r="V196" s="12">
        <v>0.292962</v>
      </c>
      <c r="W196" s="12">
        <v>0.29552599999999996</v>
      </c>
      <c r="X196" s="12">
        <v>0.316492</v>
      </c>
      <c r="Y196" s="12">
        <v>0.342943</v>
      </c>
      <c r="Z196" s="12">
        <v>0.28578999999999999</v>
      </c>
      <c r="AA196" s="12">
        <v>0.28420000000000001</v>
      </c>
    </row>
    <row r="197" spans="1:27" ht="14.4" x14ac:dyDescent="0.55000000000000004">
      <c r="A197" s="5" t="s">
        <v>14</v>
      </c>
      <c r="B197" s="7">
        <v>4.1638000000000001E-2</v>
      </c>
      <c r="C197" s="7">
        <v>1.9063E-2</v>
      </c>
      <c r="D197" s="7">
        <v>-1.4670000000000001E-2</v>
      </c>
      <c r="E197" s="7">
        <v>-1.116E-2</v>
      </c>
      <c r="F197" s="7">
        <v>2.7910000000000001E-2</v>
      </c>
      <c r="G197" s="7">
        <v>4.0730000000000002E-3</v>
      </c>
      <c r="H197" s="7">
        <v>6.5392000000000006E-2</v>
      </c>
      <c r="I197" s="7">
        <v>2.8666000000000001E-2</v>
      </c>
      <c r="J197" s="7">
        <v>3.568E-3</v>
      </c>
      <c r="K197" s="7">
        <v>5.6506000000000001E-2</v>
      </c>
      <c r="L197" s="7">
        <v>6.3639000000000001E-2</v>
      </c>
      <c r="M197" s="7">
        <v>-2.8670000000000001E-2</v>
      </c>
      <c r="N197" s="41">
        <f t="shared" ref="N197:N216" si="5">SUM(B197:M197)</f>
        <v>0.25595500000000004</v>
      </c>
      <c r="O197" s="5" t="s">
        <v>14</v>
      </c>
      <c r="P197" s="12">
        <v>0.33163799999999999</v>
      </c>
      <c r="Q197" s="12">
        <v>0.30906299999999998</v>
      </c>
      <c r="R197" s="12">
        <v>0.27532999999999996</v>
      </c>
      <c r="S197" s="12">
        <v>0.27883999999999998</v>
      </c>
      <c r="T197" s="12">
        <v>0.31790999999999997</v>
      </c>
      <c r="U197" s="12">
        <v>0.29407299999999997</v>
      </c>
      <c r="V197" s="12">
        <v>0.35539199999999999</v>
      </c>
      <c r="W197" s="12">
        <v>0.318666</v>
      </c>
      <c r="X197" s="12">
        <v>0.293568</v>
      </c>
      <c r="Y197" s="12">
        <v>0.34650599999999998</v>
      </c>
      <c r="Z197" s="12">
        <v>0.35363899999999998</v>
      </c>
      <c r="AA197" s="12">
        <v>0.26132999999999995</v>
      </c>
    </row>
    <row r="198" spans="1:27" ht="14.4" x14ac:dyDescent="0.55000000000000004">
      <c r="A198" s="5" t="s">
        <v>15</v>
      </c>
      <c r="B198" s="6">
        <v>0.139755665338822</v>
      </c>
      <c r="C198" s="6">
        <v>0.156292048007828</v>
      </c>
      <c r="D198" s="6">
        <v>0.13682231164238701</v>
      </c>
      <c r="E198" s="6">
        <v>7.4999550599137002E-2</v>
      </c>
      <c r="F198" s="6">
        <v>0.13380575434047701</v>
      </c>
      <c r="G198" s="6">
        <v>0.115354658291084</v>
      </c>
      <c r="H198" s="6">
        <v>0.21250307674053301</v>
      </c>
      <c r="I198" s="6">
        <v>0.166743655984012</v>
      </c>
      <c r="J198" s="6">
        <v>0.16514890138545399</v>
      </c>
      <c r="K198" s="6">
        <v>2.9867668443653E-2</v>
      </c>
      <c r="L198" s="6">
        <v>0.232268695091262</v>
      </c>
      <c r="M198" s="6">
        <v>0.122025568523821</v>
      </c>
      <c r="N198" s="41">
        <f t="shared" si="5"/>
        <v>1.68558755438847</v>
      </c>
      <c r="O198" s="5" t="s">
        <v>15</v>
      </c>
      <c r="P198" s="12">
        <v>0.42975566533882198</v>
      </c>
      <c r="Q198" s="12">
        <v>0.44629204800782796</v>
      </c>
      <c r="R198" s="12">
        <v>0.42682231164238699</v>
      </c>
      <c r="S198" s="12">
        <v>0.36499955059913697</v>
      </c>
      <c r="T198" s="12">
        <v>0.42380575434047696</v>
      </c>
      <c r="U198" s="12">
        <v>0.40535465829108397</v>
      </c>
      <c r="V198" s="12">
        <v>0.50250307674053296</v>
      </c>
      <c r="W198" s="12">
        <v>0.45674365598401201</v>
      </c>
      <c r="X198" s="12">
        <v>0.45514890138545394</v>
      </c>
      <c r="Y198" s="12">
        <v>0.319867668443653</v>
      </c>
      <c r="Z198" s="12">
        <v>0.52226869509126195</v>
      </c>
      <c r="AA198" s="12">
        <v>0.412025568523821</v>
      </c>
    </row>
    <row r="199" spans="1:27" ht="14.4" x14ac:dyDescent="0.55000000000000004">
      <c r="A199" s="5" t="s">
        <v>16</v>
      </c>
      <c r="B199" s="6">
        <v>4.0594523481317001E-2</v>
      </c>
      <c r="C199" s="6">
        <v>2.46463594689579E-2</v>
      </c>
      <c r="D199" s="6">
        <v>-5.5951623220797199E-2</v>
      </c>
      <c r="E199" s="6">
        <v>-9.8182903345941694E-2</v>
      </c>
      <c r="F199" s="6">
        <v>8.8932975372729095E-2</v>
      </c>
      <c r="G199" s="6">
        <v>4.46713006201424E-2</v>
      </c>
      <c r="H199" s="6">
        <v>7.1033483371610001E-2</v>
      </c>
      <c r="I199" s="6">
        <v>1.1468517356051901E-2</v>
      </c>
      <c r="J199" s="6">
        <v>4.3898564069108803E-2</v>
      </c>
      <c r="K199" s="6">
        <v>2.2125403909372399E-2</v>
      </c>
      <c r="L199" s="6">
        <v>7.1566173911964001E-2</v>
      </c>
      <c r="M199" s="6">
        <v>0.18810840281238</v>
      </c>
      <c r="N199" s="41">
        <f t="shared" si="5"/>
        <v>0.4529111778068946</v>
      </c>
      <c r="O199" s="5" t="s">
        <v>16</v>
      </c>
      <c r="P199" s="12">
        <v>0.33059452348131696</v>
      </c>
      <c r="Q199" s="12">
        <v>0.31464635946895786</v>
      </c>
      <c r="R199" s="12">
        <v>0.23404837677920279</v>
      </c>
      <c r="S199" s="12">
        <v>0.19181709665405827</v>
      </c>
      <c r="T199" s="12">
        <v>0.37893297537272908</v>
      </c>
      <c r="U199" s="12">
        <v>0.33467130062014239</v>
      </c>
      <c r="V199" s="12">
        <v>0.36103348337161001</v>
      </c>
      <c r="W199" s="12">
        <v>0.3014685173560519</v>
      </c>
      <c r="X199" s="12">
        <v>0.33389856406910878</v>
      </c>
      <c r="Y199" s="12">
        <v>0.31212540390937238</v>
      </c>
      <c r="Z199" s="12">
        <v>0.361566173911964</v>
      </c>
      <c r="AA199" s="12">
        <v>0.47810840281237998</v>
      </c>
    </row>
    <row r="200" spans="1:27" ht="14.4" x14ac:dyDescent="0.55000000000000004">
      <c r="A200" s="5" t="s">
        <v>17</v>
      </c>
      <c r="B200" s="7">
        <v>1.8799999999999999E-3</v>
      </c>
      <c r="C200" s="7">
        <v>1.8735000000000002E-2</v>
      </c>
      <c r="D200" s="7">
        <v>-5.8020000000000002E-2</v>
      </c>
      <c r="E200" s="7">
        <v>-2.2499999999999999E-2</v>
      </c>
      <c r="F200" s="7">
        <v>-3.456E-2</v>
      </c>
      <c r="G200" s="7">
        <v>-2.0559999999999998E-2</v>
      </c>
      <c r="H200" s="7">
        <v>4.1993000000000003E-2</v>
      </c>
      <c r="I200" s="7">
        <v>7.4790000000000004E-3</v>
      </c>
      <c r="J200" s="7">
        <v>1.6695999999999999E-2</v>
      </c>
      <c r="K200" s="7">
        <v>9.1278999999999999E-2</v>
      </c>
      <c r="L200" s="7">
        <v>3.3008999999999997E-2</v>
      </c>
      <c r="M200" s="7">
        <v>7.4256000000000003E-2</v>
      </c>
      <c r="N200" s="41">
        <f t="shared" si="5"/>
        <v>0.14968700000000001</v>
      </c>
      <c r="O200" s="5" t="s">
        <v>17</v>
      </c>
      <c r="P200" s="12">
        <v>0.29187999999999997</v>
      </c>
      <c r="Q200" s="12">
        <v>0.30873499999999998</v>
      </c>
      <c r="R200" s="12">
        <v>0.23197999999999996</v>
      </c>
      <c r="S200" s="12">
        <v>0.26749999999999996</v>
      </c>
      <c r="T200" s="12">
        <v>0.25544</v>
      </c>
      <c r="U200" s="12">
        <v>0.26943999999999996</v>
      </c>
      <c r="V200" s="12">
        <v>0.33199299999999998</v>
      </c>
      <c r="W200" s="12">
        <v>0.29747899999999999</v>
      </c>
      <c r="X200" s="12">
        <v>0.30669599999999997</v>
      </c>
      <c r="Y200" s="12">
        <v>0.38127899999999998</v>
      </c>
      <c r="Z200" s="12">
        <v>0.32300899999999999</v>
      </c>
      <c r="AA200" s="12">
        <v>0.36425599999999997</v>
      </c>
    </row>
    <row r="201" spans="1:27" ht="14.4" x14ac:dyDescent="0.55000000000000004">
      <c r="A201" s="5" t="s">
        <v>18</v>
      </c>
      <c r="B201" s="6">
        <v>1.34702908874915E-2</v>
      </c>
      <c r="C201" s="6">
        <v>2.4710360424594301E-2</v>
      </c>
      <c r="D201" s="6">
        <v>-6.6307594335591996E-2</v>
      </c>
      <c r="E201" s="6">
        <v>-0.13048041344790001</v>
      </c>
      <c r="F201" s="6">
        <v>4.0129557585320302E-2</v>
      </c>
      <c r="G201" s="6">
        <v>3.02907124695437E-2</v>
      </c>
      <c r="H201" s="6">
        <v>4.7941445003760498E-2</v>
      </c>
      <c r="I201" s="6">
        <v>2.93122420529368E-2</v>
      </c>
      <c r="J201" s="6">
        <v>6.17394065911172E-2</v>
      </c>
      <c r="K201" s="6">
        <v>7.2867682794255803E-2</v>
      </c>
      <c r="L201" s="6">
        <v>7.0044748141854296E-2</v>
      </c>
      <c r="M201" s="6">
        <v>7.4524671901248701E-2</v>
      </c>
      <c r="N201" s="41">
        <f t="shared" si="5"/>
        <v>0.26824311006863111</v>
      </c>
      <c r="O201" s="5" t="s">
        <v>18</v>
      </c>
      <c r="P201" s="12">
        <v>0.3034702908874915</v>
      </c>
      <c r="Q201" s="12">
        <v>0.31471036042459427</v>
      </c>
      <c r="R201" s="12">
        <v>0.22369240566440798</v>
      </c>
      <c r="S201" s="12">
        <v>0.15951958655209997</v>
      </c>
      <c r="T201" s="12">
        <v>0.33012955758532025</v>
      </c>
      <c r="U201" s="12">
        <v>0.32029071246954366</v>
      </c>
      <c r="V201" s="12">
        <v>0.3379414450037605</v>
      </c>
      <c r="W201" s="12">
        <v>0.31931224205293679</v>
      </c>
      <c r="X201" s="12">
        <v>0.35173940659111719</v>
      </c>
      <c r="Y201" s="12">
        <v>0.3628676827942558</v>
      </c>
      <c r="Z201" s="12">
        <v>0.36004474814185428</v>
      </c>
      <c r="AA201" s="12">
        <v>0.36452467190124871</v>
      </c>
    </row>
    <row r="202" spans="1:27" ht="14.4" x14ac:dyDescent="0.55000000000000004">
      <c r="A202" s="5" t="s">
        <v>19</v>
      </c>
      <c r="B202" s="7">
        <v>4.2212E-2</v>
      </c>
      <c r="C202" s="7">
        <v>2.3400000000000001E-3</v>
      </c>
      <c r="D202" s="7">
        <v>-0.19600000000000001</v>
      </c>
      <c r="E202" s="7">
        <v>-0.21375</v>
      </c>
      <c r="F202" s="7">
        <v>5.1860000000000003E-2</v>
      </c>
      <c r="G202" s="7">
        <v>2.2331E-2</v>
      </c>
      <c r="H202" s="7">
        <v>6.5123E-2</v>
      </c>
      <c r="I202" s="7">
        <v>7.8113000000000002E-2</v>
      </c>
      <c r="J202" s="7">
        <v>-2.7100000000000002E-3</v>
      </c>
      <c r="K202" s="7">
        <v>6.6403000000000004E-2</v>
      </c>
      <c r="L202" s="7">
        <v>9.4070000000000001E-2</v>
      </c>
      <c r="M202" s="7">
        <v>-4.3159999999999997E-2</v>
      </c>
      <c r="N202" s="41">
        <f t="shared" si="5"/>
        <v>-3.3168000000000024E-2</v>
      </c>
      <c r="O202" s="5" t="s">
        <v>19</v>
      </c>
      <c r="P202" s="12">
        <v>0.33221199999999995</v>
      </c>
      <c r="Q202" s="12">
        <v>0.29233999999999999</v>
      </c>
      <c r="R202" s="12">
        <v>9.3999999999999972E-2</v>
      </c>
      <c r="S202" s="12">
        <v>7.6249999999999984E-2</v>
      </c>
      <c r="T202" s="12">
        <v>0.34186</v>
      </c>
      <c r="U202" s="12">
        <v>0.31233099999999997</v>
      </c>
      <c r="V202" s="12">
        <v>0.35512299999999997</v>
      </c>
      <c r="W202" s="12">
        <v>0.36811299999999997</v>
      </c>
      <c r="X202" s="12">
        <v>0.28728999999999999</v>
      </c>
      <c r="Y202" s="12">
        <v>0.35640299999999997</v>
      </c>
      <c r="Z202" s="12">
        <v>0.38406999999999997</v>
      </c>
      <c r="AA202" s="12">
        <v>0.24683999999999998</v>
      </c>
    </row>
    <row r="203" spans="1:27" ht="14.4" x14ac:dyDescent="0.55000000000000004">
      <c r="A203" s="8" t="s">
        <v>100</v>
      </c>
      <c r="B203" s="30" t="s">
        <v>52</v>
      </c>
      <c r="C203" s="13">
        <v>0</v>
      </c>
      <c r="D203" s="13">
        <v>-0.24</v>
      </c>
      <c r="E203" s="13">
        <v>-0.09</v>
      </c>
      <c r="F203" s="13">
        <v>0.1</v>
      </c>
      <c r="G203" s="13">
        <v>0.02</v>
      </c>
      <c r="H203" s="13">
        <v>7.0000000000000007E-2</v>
      </c>
      <c r="I203" s="13">
        <v>-0.06</v>
      </c>
      <c r="J203" s="12">
        <v>-0.01</v>
      </c>
      <c r="K203" s="12">
        <v>0.11</v>
      </c>
      <c r="L203" s="12">
        <v>0.05</v>
      </c>
      <c r="M203" s="12">
        <v>0.04</v>
      </c>
      <c r="N203" s="41">
        <f t="shared" si="5"/>
        <v>-9.9999999999999603E-3</v>
      </c>
      <c r="O203" s="8" t="s">
        <v>100</v>
      </c>
      <c r="P203" s="12">
        <v>0.31</v>
      </c>
      <c r="Q203" s="12">
        <v>0.28999999999999998</v>
      </c>
      <c r="R203" s="12">
        <v>4.9999999999999989E-2</v>
      </c>
      <c r="S203" s="12">
        <v>0.19999999999999998</v>
      </c>
      <c r="T203" s="12">
        <v>0.39</v>
      </c>
      <c r="U203" s="12">
        <v>0.31</v>
      </c>
      <c r="V203" s="12">
        <v>0.36</v>
      </c>
      <c r="W203" s="12">
        <v>0.22999999999999998</v>
      </c>
      <c r="X203" s="12">
        <v>0.27999999999999997</v>
      </c>
      <c r="Y203" s="12">
        <v>0.39999999999999997</v>
      </c>
      <c r="Z203" s="12">
        <v>0.33999999999999997</v>
      </c>
      <c r="AA203" s="12">
        <v>0.32999999999999996</v>
      </c>
    </row>
    <row r="204" spans="1:27" ht="14.4" x14ac:dyDescent="0.55000000000000004">
      <c r="A204" s="10" t="s">
        <v>106</v>
      </c>
      <c r="B204" s="30" t="s">
        <v>53</v>
      </c>
      <c r="C204" s="13">
        <v>-0.11035</v>
      </c>
      <c r="D204" s="13">
        <v>-0.13549</v>
      </c>
      <c r="E204" s="13">
        <v>-8.8349999999999998E-2</v>
      </c>
      <c r="F204" s="13">
        <v>3.8622999999999998E-2</v>
      </c>
      <c r="G204" s="13">
        <v>3.2507000000000001E-2</v>
      </c>
      <c r="H204" s="13">
        <v>-1.8610000000000002E-2</v>
      </c>
      <c r="I204" s="13">
        <v>-6.7180000000000004E-2</v>
      </c>
      <c r="J204" s="12">
        <v>1.4253E-2</v>
      </c>
      <c r="K204" s="12">
        <v>-3.3730000000000003E-2</v>
      </c>
      <c r="L204" s="12">
        <v>0.10570599999999999</v>
      </c>
      <c r="M204" s="12">
        <v>0.117076</v>
      </c>
      <c r="N204" s="41">
        <f t="shared" si="5"/>
        <v>-0.14554499999999998</v>
      </c>
      <c r="O204" s="10" t="s">
        <v>106</v>
      </c>
      <c r="P204" s="12">
        <v>0.25289</v>
      </c>
      <c r="Q204" s="12">
        <v>0.17964999999999998</v>
      </c>
      <c r="R204" s="12">
        <v>0.15450999999999998</v>
      </c>
      <c r="S204" s="12">
        <v>0.20165</v>
      </c>
      <c r="T204" s="12">
        <v>0.328623</v>
      </c>
      <c r="U204" s="12">
        <v>0.32250699999999999</v>
      </c>
      <c r="V204" s="12">
        <v>0.27138999999999996</v>
      </c>
      <c r="W204" s="12">
        <v>0.22281999999999996</v>
      </c>
      <c r="X204" s="12">
        <v>0.304253</v>
      </c>
      <c r="Y204" s="12">
        <v>0.25627</v>
      </c>
      <c r="Z204" s="12">
        <v>0.395706</v>
      </c>
      <c r="AA204" s="12">
        <v>0.40707599999999999</v>
      </c>
    </row>
    <row r="205" spans="1:27" ht="14.4" x14ac:dyDescent="0.55000000000000004">
      <c r="A205" s="10" t="s">
        <v>107</v>
      </c>
      <c r="B205" s="30" t="s">
        <v>54</v>
      </c>
      <c r="C205" s="13">
        <v>1.2662E-2</v>
      </c>
      <c r="D205" s="13">
        <v>-0.21203</v>
      </c>
      <c r="E205" s="13">
        <v>-5.3260000000000002E-2</v>
      </c>
      <c r="F205" s="13">
        <v>5.4653E-2</v>
      </c>
      <c r="G205" s="13">
        <v>2.0753000000000001E-2</v>
      </c>
      <c r="H205" s="13">
        <v>3.2778000000000002E-2</v>
      </c>
      <c r="I205" s="13">
        <v>-3.6549999999999999E-2</v>
      </c>
      <c r="J205" s="12">
        <v>5.0689999999999997E-3</v>
      </c>
      <c r="K205" s="12">
        <v>2.3154000000000001E-2</v>
      </c>
      <c r="L205" s="12">
        <v>3.2681000000000002E-2</v>
      </c>
      <c r="M205" s="12">
        <v>5.2486999999999999E-2</v>
      </c>
      <c r="N205" s="41">
        <f t="shared" si="5"/>
        <v>-6.7602999999999969E-2</v>
      </c>
      <c r="O205" s="10" t="s">
        <v>107</v>
      </c>
      <c r="P205" s="12">
        <v>0.32136199999999998</v>
      </c>
      <c r="Q205" s="12">
        <v>0.30266199999999999</v>
      </c>
      <c r="R205" s="12">
        <v>7.7969999999999984E-2</v>
      </c>
      <c r="S205" s="12">
        <v>0.23673999999999998</v>
      </c>
      <c r="T205" s="12">
        <v>0.34465299999999999</v>
      </c>
      <c r="U205" s="12">
        <v>0.310753</v>
      </c>
      <c r="V205" s="12">
        <v>0.32277800000000001</v>
      </c>
      <c r="W205" s="12">
        <v>0.25344999999999995</v>
      </c>
      <c r="X205" s="12">
        <v>0.29506899999999997</v>
      </c>
      <c r="Y205" s="12">
        <v>0.31315399999999999</v>
      </c>
      <c r="Z205" s="12">
        <v>0.322681</v>
      </c>
      <c r="AA205" s="12">
        <v>0.34248699999999999</v>
      </c>
    </row>
    <row r="206" spans="1:27" ht="14.4" x14ac:dyDescent="0.55000000000000004">
      <c r="A206" s="10" t="s">
        <v>108</v>
      </c>
      <c r="B206" s="30" t="s">
        <v>55</v>
      </c>
      <c r="C206" s="13">
        <v>3.3822999999999999E-2</v>
      </c>
      <c r="D206" s="13">
        <v>-0.2321</v>
      </c>
      <c r="E206" s="13">
        <v>2.3050999999999999E-2</v>
      </c>
      <c r="F206" s="13">
        <v>4.9577000000000003E-2</v>
      </c>
      <c r="G206" s="13">
        <v>-1.848E-2</v>
      </c>
      <c r="H206" s="13">
        <v>3.0804999999999999E-2</v>
      </c>
      <c r="I206" s="13">
        <v>-0.1096</v>
      </c>
      <c r="J206" s="12">
        <v>-0.16474</v>
      </c>
      <c r="K206" s="12">
        <v>-1.6719999999999999E-2</v>
      </c>
      <c r="L206" s="12">
        <v>-6.0999999999999999E-2</v>
      </c>
      <c r="M206" s="12">
        <v>-0.11735</v>
      </c>
      <c r="N206" s="41">
        <f t="shared" si="5"/>
        <v>-0.58273399999999997</v>
      </c>
      <c r="O206" s="10" t="s">
        <v>108</v>
      </c>
      <c r="P206" s="12">
        <v>0.17183999999999999</v>
      </c>
      <c r="Q206" s="12">
        <v>0.32382299999999997</v>
      </c>
      <c r="R206" s="12">
        <v>5.7899999999999979E-2</v>
      </c>
      <c r="S206" s="12">
        <v>0.31305099999999997</v>
      </c>
      <c r="T206" s="12">
        <v>0.33957699999999996</v>
      </c>
      <c r="U206" s="12">
        <v>0.27151999999999998</v>
      </c>
      <c r="V206" s="12">
        <v>0.32080500000000001</v>
      </c>
      <c r="W206" s="12">
        <v>0.18039999999999998</v>
      </c>
      <c r="X206" s="12">
        <v>0.12525999999999998</v>
      </c>
      <c r="Y206" s="12">
        <v>0.27327999999999997</v>
      </c>
      <c r="Z206" s="12">
        <v>0.22899999999999998</v>
      </c>
      <c r="AA206" s="12">
        <v>0.17264999999999997</v>
      </c>
    </row>
    <row r="207" spans="1:27" ht="14.4" x14ac:dyDescent="0.55000000000000004">
      <c r="A207" s="10" t="s">
        <v>109</v>
      </c>
      <c r="B207" s="30" t="s">
        <v>56</v>
      </c>
      <c r="C207" s="13">
        <v>3.1283999999999999E-2</v>
      </c>
      <c r="D207" s="13">
        <v>-0.24048</v>
      </c>
      <c r="E207" s="13">
        <v>5.7571999999999998E-2</v>
      </c>
      <c r="F207" s="13">
        <v>-0.12640000000000001</v>
      </c>
      <c r="G207" s="13">
        <v>-0.1091</v>
      </c>
      <c r="H207" s="13">
        <v>-9.8479999999999998E-2</v>
      </c>
      <c r="I207" s="13">
        <v>2.2030000000000001E-2</v>
      </c>
      <c r="J207" s="12">
        <v>-8.0930000000000002E-2</v>
      </c>
      <c r="K207" s="12">
        <v>2.2200000000000002E-3</v>
      </c>
      <c r="L207" s="12">
        <v>-6.6900000000000001E-2</v>
      </c>
      <c r="M207" s="12">
        <v>-8.9679999999999996E-2</v>
      </c>
      <c r="N207" s="41">
        <f t="shared" si="5"/>
        <v>-0.69886400000000004</v>
      </c>
      <c r="O207" s="10" t="s">
        <v>109</v>
      </c>
      <c r="P207" s="12">
        <v>0.34126299999999998</v>
      </c>
      <c r="Q207" s="12">
        <v>0.32128399999999996</v>
      </c>
      <c r="R207" s="12">
        <v>4.9519999999999981E-2</v>
      </c>
      <c r="S207" s="12">
        <v>0.34757199999999999</v>
      </c>
      <c r="T207" s="12">
        <v>0.16359999999999997</v>
      </c>
      <c r="U207" s="12">
        <v>0.18089999999999998</v>
      </c>
      <c r="V207" s="12">
        <v>0.19151999999999997</v>
      </c>
      <c r="W207" s="12">
        <v>0.31202999999999997</v>
      </c>
      <c r="X207" s="12">
        <v>0.20906999999999998</v>
      </c>
      <c r="Y207" s="12">
        <v>0.29221999999999998</v>
      </c>
      <c r="Z207" s="12">
        <v>0.22309999999999997</v>
      </c>
      <c r="AA207" s="12">
        <v>0.20032</v>
      </c>
    </row>
    <row r="208" spans="1:27" ht="14.4" x14ac:dyDescent="0.55000000000000004">
      <c r="A208" s="10" t="s">
        <v>110</v>
      </c>
      <c r="B208" s="30" t="s">
        <v>57</v>
      </c>
      <c r="C208" s="13">
        <v>2.0563000000000001E-2</v>
      </c>
      <c r="D208" s="13">
        <v>1.8468999999999999E-2</v>
      </c>
      <c r="E208" s="13">
        <v>-3.4049999999999997E-2</v>
      </c>
      <c r="F208" s="13">
        <v>-1.2760000000000001E-2</v>
      </c>
      <c r="G208" s="13">
        <v>-6.2370000000000002E-2</v>
      </c>
      <c r="H208" s="13">
        <v>-0.12256</v>
      </c>
      <c r="I208" s="13">
        <v>-0.13663</v>
      </c>
      <c r="J208" s="12">
        <v>-0.27961999999999998</v>
      </c>
      <c r="K208" s="12">
        <v>-1.542E-2</v>
      </c>
      <c r="L208" s="12">
        <v>-6.9000000000000006E-2</v>
      </c>
      <c r="M208" s="12">
        <v>-9.9479999999999999E-2</v>
      </c>
      <c r="N208" s="41">
        <f t="shared" si="5"/>
        <v>-0.79285800000000006</v>
      </c>
      <c r="O208" s="10" t="s">
        <v>110</v>
      </c>
      <c r="P208" s="12">
        <v>0.33538199999999996</v>
      </c>
      <c r="Q208" s="12">
        <v>0.31056299999999998</v>
      </c>
      <c r="R208" s="12">
        <v>0.30846899999999999</v>
      </c>
      <c r="S208" s="12">
        <v>0.25595000000000001</v>
      </c>
      <c r="T208" s="12">
        <v>0.27723999999999999</v>
      </c>
      <c r="U208" s="12">
        <v>0.22762999999999997</v>
      </c>
      <c r="V208" s="12">
        <v>0.16743999999999998</v>
      </c>
      <c r="W208" s="12">
        <v>0.15336999999999998</v>
      </c>
      <c r="X208" s="12">
        <v>1.038E-2</v>
      </c>
      <c r="Y208" s="12">
        <v>0.27457999999999999</v>
      </c>
      <c r="Z208" s="12">
        <v>0.22099999999999997</v>
      </c>
      <c r="AA208" s="12">
        <v>0.19051999999999997</v>
      </c>
    </row>
    <row r="209" spans="1:27" ht="14.4" x14ac:dyDescent="0.55000000000000004">
      <c r="A209" s="10" t="s">
        <v>111</v>
      </c>
      <c r="B209" s="30" t="s">
        <v>58</v>
      </c>
      <c r="C209" s="13">
        <v>3.6556999999999999E-2</v>
      </c>
      <c r="D209" s="13">
        <v>-0.20880000000000001</v>
      </c>
      <c r="E209" s="13">
        <v>6.2535999999999994E-2</v>
      </c>
      <c r="F209" s="13">
        <v>5.4195E-2</v>
      </c>
      <c r="G209" s="13">
        <v>-2.6440000000000002E-2</v>
      </c>
      <c r="H209" s="13">
        <v>-0.11166</v>
      </c>
      <c r="I209" s="13">
        <v>-1.093E-2</v>
      </c>
      <c r="J209" s="12">
        <v>-1.2579999999999999E-2</v>
      </c>
      <c r="K209" s="12">
        <v>1.2792E-2</v>
      </c>
      <c r="L209" s="12">
        <v>-4.0680000000000001E-2</v>
      </c>
      <c r="M209" s="12">
        <v>-0.12085</v>
      </c>
      <c r="N209" s="41">
        <f t="shared" si="5"/>
        <v>-0.36586000000000002</v>
      </c>
      <c r="O209" s="10" t="s">
        <v>111</v>
      </c>
      <c r="P209" s="12">
        <v>0.17036999999999997</v>
      </c>
      <c r="Q209" s="12">
        <v>0.32655699999999999</v>
      </c>
      <c r="R209" s="12">
        <v>8.1199999999999967E-2</v>
      </c>
      <c r="S209" s="12">
        <v>0.35253599999999996</v>
      </c>
      <c r="T209" s="12">
        <v>0.34419499999999997</v>
      </c>
      <c r="U209" s="12">
        <v>0.26355999999999996</v>
      </c>
      <c r="V209" s="12">
        <v>0.17834</v>
      </c>
      <c r="W209" s="12">
        <v>0.27906999999999998</v>
      </c>
      <c r="X209" s="12">
        <v>0.27742</v>
      </c>
      <c r="Y209" s="12">
        <v>0.30279200000000001</v>
      </c>
      <c r="Z209" s="12">
        <v>0.24931999999999999</v>
      </c>
      <c r="AA209" s="12">
        <v>0.16914999999999997</v>
      </c>
    </row>
    <row r="210" spans="1:27" ht="14.4" x14ac:dyDescent="0.55000000000000004">
      <c r="A210" s="14" t="s">
        <v>112</v>
      </c>
      <c r="B210" s="30" t="s">
        <v>59</v>
      </c>
      <c r="C210" s="13">
        <v>-2.0639999999999999E-2</v>
      </c>
      <c r="D210" s="13">
        <v>-0.22425</v>
      </c>
      <c r="E210" s="13">
        <v>-4.104E-2</v>
      </c>
      <c r="F210" s="13">
        <v>4.0673000000000001E-2</v>
      </c>
      <c r="G210" s="13">
        <v>1.4154999999999999E-2</v>
      </c>
      <c r="H210" s="13">
        <v>6.9957000000000005E-2</v>
      </c>
      <c r="I210" s="13">
        <v>-4.4139999999999999E-2</v>
      </c>
      <c r="J210" s="12">
        <v>1.3377E-2</v>
      </c>
      <c r="K210" s="12">
        <v>6.8737000000000006E-2</v>
      </c>
      <c r="L210" s="12">
        <v>-3.2719999999999999E-2</v>
      </c>
      <c r="M210" s="12">
        <v>3.1280000000000002E-2</v>
      </c>
      <c r="N210" s="41">
        <f t="shared" si="5"/>
        <v>-0.124611</v>
      </c>
      <c r="O210" s="14" t="s">
        <v>112</v>
      </c>
      <c r="P210" s="12">
        <v>0.25327</v>
      </c>
      <c r="Q210" s="12">
        <v>0.26935999999999999</v>
      </c>
      <c r="R210" s="12">
        <v>6.5749999999999975E-2</v>
      </c>
      <c r="S210" s="12">
        <v>0.24895999999999999</v>
      </c>
      <c r="T210" s="12">
        <v>0.33067299999999999</v>
      </c>
      <c r="U210" s="12">
        <v>0.30415499999999995</v>
      </c>
      <c r="V210" s="12">
        <v>0.35995699999999997</v>
      </c>
      <c r="W210" s="12">
        <v>0.24585999999999997</v>
      </c>
      <c r="X210" s="12">
        <v>0.30337700000000001</v>
      </c>
      <c r="Y210" s="12">
        <v>0.35873699999999997</v>
      </c>
      <c r="Z210" s="12">
        <v>0.25727999999999995</v>
      </c>
      <c r="AA210" s="12">
        <v>0.32128000000000001</v>
      </c>
    </row>
    <row r="211" spans="1:27" ht="14.4" x14ac:dyDescent="0.55000000000000004">
      <c r="A211" s="15" t="s">
        <v>113</v>
      </c>
      <c r="B211" s="30" t="s">
        <v>60</v>
      </c>
      <c r="C211" s="13">
        <v>5.3303000000000003E-2</v>
      </c>
      <c r="D211" s="13">
        <v>7.2753999999999999E-2</v>
      </c>
      <c r="E211" s="13">
        <v>1.1479E-2</v>
      </c>
      <c r="F211" s="13">
        <v>-3.6089999999999997E-2</v>
      </c>
      <c r="G211" s="13">
        <v>0.104272</v>
      </c>
      <c r="H211" s="13">
        <v>7.9149999999999998E-2</v>
      </c>
      <c r="I211" s="13">
        <v>-6.8399999999999997E-3</v>
      </c>
      <c r="J211" s="12">
        <v>-8.0930000000000002E-2</v>
      </c>
      <c r="K211" s="12">
        <v>8.8832999999999995E-2</v>
      </c>
      <c r="L211" s="12">
        <v>0.18009600000000001</v>
      </c>
      <c r="M211" s="12">
        <v>0.129612</v>
      </c>
      <c r="N211" s="41">
        <f t="shared" si="5"/>
        <v>0.59563900000000003</v>
      </c>
      <c r="O211" s="15" t="s">
        <v>113</v>
      </c>
      <c r="P211" s="12">
        <v>0.38505899999999998</v>
      </c>
      <c r="Q211" s="12">
        <v>0.34330299999999997</v>
      </c>
      <c r="R211" s="12">
        <v>0.36275399999999997</v>
      </c>
      <c r="S211" s="12">
        <v>0.301479</v>
      </c>
      <c r="T211" s="12">
        <v>0.25390999999999997</v>
      </c>
      <c r="U211" s="12">
        <v>0.39427199999999996</v>
      </c>
      <c r="V211" s="12">
        <v>0.36914999999999998</v>
      </c>
      <c r="W211" s="12">
        <v>0.28315999999999997</v>
      </c>
      <c r="X211" s="12">
        <v>0.20906999999999998</v>
      </c>
      <c r="Y211" s="12">
        <v>0.37883299999999998</v>
      </c>
      <c r="Z211" s="12">
        <v>0.47009599999999996</v>
      </c>
      <c r="AA211" s="12">
        <v>0.41961199999999999</v>
      </c>
    </row>
    <row r="212" spans="1:27" ht="14.4" x14ac:dyDescent="0.55000000000000004">
      <c r="A212" s="16" t="s">
        <v>114</v>
      </c>
      <c r="B212" s="30" t="s">
        <v>61</v>
      </c>
      <c r="C212" s="13">
        <v>4.1269E-2</v>
      </c>
      <c r="D212" s="13">
        <v>-5.493E-2</v>
      </c>
      <c r="E212" s="13">
        <v>-6.8110000000000004E-2</v>
      </c>
      <c r="F212" s="13">
        <v>3.2209000000000002E-2</v>
      </c>
      <c r="G212" s="13">
        <v>1.2789E-2</v>
      </c>
      <c r="H212" s="13">
        <v>4.9195999999999997E-2</v>
      </c>
      <c r="I212" s="13">
        <v>-5.2540000000000003E-2</v>
      </c>
      <c r="J212" s="12">
        <v>-5.6599999999999998E-2</v>
      </c>
      <c r="K212" s="12">
        <v>-7.5199999999999998E-3</v>
      </c>
      <c r="L212" s="12">
        <v>3.8043E-2</v>
      </c>
      <c r="M212" s="12">
        <v>3.8282999999999998E-2</v>
      </c>
      <c r="N212" s="41">
        <f t="shared" si="5"/>
        <v>-2.7911000000000005E-2</v>
      </c>
      <c r="O212" s="16" t="s">
        <v>114</v>
      </c>
      <c r="P212" s="12">
        <v>0.30481399999999997</v>
      </c>
      <c r="Q212" s="12">
        <v>0.33126899999999998</v>
      </c>
      <c r="R212" s="12">
        <v>0.23506999999999997</v>
      </c>
      <c r="S212" s="12">
        <v>0.22188999999999998</v>
      </c>
      <c r="T212" s="12">
        <v>0.32220899999999997</v>
      </c>
      <c r="U212" s="12">
        <v>0.30278899999999997</v>
      </c>
      <c r="V212" s="12">
        <v>0.339196</v>
      </c>
      <c r="W212" s="12">
        <v>0.23745999999999998</v>
      </c>
      <c r="X212" s="12">
        <v>0.2334</v>
      </c>
      <c r="Y212" s="12">
        <v>0.28247999999999995</v>
      </c>
      <c r="Z212" s="12">
        <v>0.32804299999999997</v>
      </c>
      <c r="AA212" s="12">
        <v>0.32828299999999999</v>
      </c>
    </row>
    <row r="213" spans="1:27" ht="14.4" x14ac:dyDescent="0.55000000000000004">
      <c r="A213" s="8" t="s">
        <v>115</v>
      </c>
      <c r="B213" s="30" t="s">
        <v>62</v>
      </c>
      <c r="C213" s="13">
        <v>-3.1109999999999999E-2</v>
      </c>
      <c r="D213" s="13">
        <v>-0.11802</v>
      </c>
      <c r="E213" s="13">
        <v>-3.449E-2</v>
      </c>
      <c r="F213" s="13">
        <v>2.7858000000000001E-2</v>
      </c>
      <c r="G213" s="13">
        <v>3.0136E-2</v>
      </c>
      <c r="H213" s="13">
        <v>3.5968E-2</v>
      </c>
      <c r="I213" s="13">
        <v>-5.4679999999999999E-2</v>
      </c>
      <c r="J213" s="12">
        <v>6.7482E-2</v>
      </c>
      <c r="K213" s="12">
        <v>0.108524</v>
      </c>
      <c r="L213" s="12">
        <v>-6.1399999999999996E-3</v>
      </c>
      <c r="M213" s="12">
        <v>0.14992</v>
      </c>
      <c r="N213" s="41">
        <f t="shared" si="5"/>
        <v>0.17544799999999999</v>
      </c>
      <c r="O213" s="8" t="s">
        <v>115</v>
      </c>
      <c r="P213" s="12">
        <v>0.21748999999999996</v>
      </c>
      <c r="Q213" s="12">
        <v>0.25888999999999995</v>
      </c>
      <c r="R213" s="12">
        <v>0.17197999999999997</v>
      </c>
      <c r="S213" s="12">
        <v>0.25550999999999996</v>
      </c>
      <c r="T213" s="12">
        <v>0.31785799999999997</v>
      </c>
      <c r="U213" s="12">
        <v>0.32013599999999998</v>
      </c>
      <c r="V213" s="12">
        <v>0.32596799999999998</v>
      </c>
      <c r="W213" s="12">
        <v>0.23531999999999997</v>
      </c>
      <c r="X213" s="12">
        <v>0.35748199999999997</v>
      </c>
      <c r="Y213" s="12">
        <v>0.39852399999999999</v>
      </c>
      <c r="Z213" s="12">
        <v>0.28386</v>
      </c>
      <c r="AA213" s="12">
        <v>0.43991999999999998</v>
      </c>
    </row>
    <row r="214" spans="1:27" ht="14.4" x14ac:dyDescent="0.55000000000000004">
      <c r="A214" s="10" t="s">
        <v>20</v>
      </c>
      <c r="B214" s="30" t="s">
        <v>63</v>
      </c>
      <c r="C214" s="13">
        <v>1.0240000000000001E-2</v>
      </c>
      <c r="D214" s="13">
        <v>-6.7129999999999995E-2</v>
      </c>
      <c r="E214" s="13">
        <v>-0.17959</v>
      </c>
      <c r="F214" s="13">
        <v>9.1818999999999998E-2</v>
      </c>
      <c r="G214" s="13">
        <v>2.2032E-2</v>
      </c>
      <c r="H214" s="13">
        <v>8.2504999999999995E-2</v>
      </c>
      <c r="I214" s="13">
        <v>-5.4460000000000001E-2</v>
      </c>
      <c r="J214" s="12">
        <v>-2.3600000000000001E-3</v>
      </c>
      <c r="K214" s="12">
        <v>-5.4239999999999997E-2</v>
      </c>
      <c r="L214" s="12">
        <v>6.8811999999999998E-2</v>
      </c>
      <c r="M214" s="12">
        <v>0.15304499999999999</v>
      </c>
      <c r="N214" s="41">
        <f t="shared" si="5"/>
        <v>7.0673E-2</v>
      </c>
      <c r="O214" s="10" t="s">
        <v>20</v>
      </c>
      <c r="P214" s="12">
        <v>0.27233999999999997</v>
      </c>
      <c r="Q214" s="12">
        <v>0.30024000000000001</v>
      </c>
      <c r="R214" s="12">
        <v>0.22286999999999998</v>
      </c>
      <c r="S214" s="12">
        <v>0.11040999999999998</v>
      </c>
      <c r="T214" s="12">
        <v>0.38181899999999996</v>
      </c>
      <c r="U214" s="12">
        <v>0.31203199999999998</v>
      </c>
      <c r="V214" s="12">
        <v>0.37250499999999998</v>
      </c>
      <c r="W214" s="12">
        <v>0.23553999999999997</v>
      </c>
      <c r="X214" s="12">
        <v>0.28764000000000001</v>
      </c>
      <c r="Y214" s="12">
        <v>0.23575999999999997</v>
      </c>
      <c r="Z214" s="12">
        <v>0.35881199999999996</v>
      </c>
      <c r="AA214" s="12">
        <v>0.44304499999999997</v>
      </c>
    </row>
    <row r="215" spans="1:27" ht="14.4" x14ac:dyDescent="0.55000000000000004">
      <c r="A215" s="8" t="s">
        <v>21</v>
      </c>
      <c r="B215" s="30" t="s">
        <v>64</v>
      </c>
      <c r="C215" s="13">
        <v>-2.1190000000000001E-2</v>
      </c>
      <c r="D215" s="13">
        <v>-0.11601</v>
      </c>
      <c r="E215" s="13">
        <v>-0.15784999999999999</v>
      </c>
      <c r="F215" s="13">
        <v>5.2915999999999998E-2</v>
      </c>
      <c r="G215" s="13">
        <v>5.3010000000000002E-2</v>
      </c>
      <c r="H215" s="13">
        <v>3.588E-3</v>
      </c>
      <c r="I215" s="13">
        <v>5.1539000000000001E-2</v>
      </c>
      <c r="J215" s="12">
        <v>6.9101999999999997E-2</v>
      </c>
      <c r="K215" s="12">
        <v>8.4042000000000006E-2</v>
      </c>
      <c r="L215" s="12">
        <v>-3.288E-2</v>
      </c>
      <c r="M215" s="12">
        <v>-2.469E-2</v>
      </c>
      <c r="N215" s="41">
        <f t="shared" si="5"/>
        <v>-3.8422999999999971E-2</v>
      </c>
      <c r="O215" s="8" t="s">
        <v>21</v>
      </c>
      <c r="P215" s="12">
        <v>0.31348799999999999</v>
      </c>
      <c r="Q215" s="12">
        <v>0.26880999999999999</v>
      </c>
      <c r="R215" s="12">
        <v>0.17398999999999998</v>
      </c>
      <c r="S215" s="12">
        <v>0.13214999999999999</v>
      </c>
      <c r="T215" s="12">
        <v>0.342916</v>
      </c>
      <c r="U215" s="12">
        <v>0.34300999999999998</v>
      </c>
      <c r="V215" s="12">
        <v>0.29358799999999996</v>
      </c>
      <c r="W215" s="12">
        <v>0.34153899999999998</v>
      </c>
      <c r="X215" s="12">
        <v>0.35910199999999998</v>
      </c>
      <c r="Y215" s="12">
        <v>0.37404199999999999</v>
      </c>
      <c r="Z215" s="12">
        <v>0.25711999999999996</v>
      </c>
      <c r="AA215" s="12">
        <v>0.26530999999999999</v>
      </c>
    </row>
    <row r="216" spans="1:27" ht="14.4" x14ac:dyDescent="0.55000000000000004">
      <c r="A216" s="8" t="s">
        <v>22</v>
      </c>
      <c r="B216" s="30" t="s">
        <v>65</v>
      </c>
      <c r="C216" s="13">
        <v>-0.16181000000000001</v>
      </c>
      <c r="D216" s="13">
        <v>-0.18737999999999999</v>
      </c>
      <c r="E216" s="13">
        <v>-0.29485</v>
      </c>
      <c r="F216" s="13">
        <v>0.100257</v>
      </c>
      <c r="G216" s="13">
        <v>5.176E-2</v>
      </c>
      <c r="H216" s="13">
        <v>-1.404E-2</v>
      </c>
      <c r="I216" s="13">
        <v>6.1669000000000002E-2</v>
      </c>
      <c r="J216" s="12">
        <v>3.1361E-2</v>
      </c>
      <c r="K216" s="12">
        <v>-2.001E-2</v>
      </c>
      <c r="L216" s="12">
        <v>1.5886999999999998E-2</v>
      </c>
      <c r="M216" s="12">
        <v>2.0506E-2</v>
      </c>
      <c r="N216" s="41">
        <f t="shared" si="5"/>
        <v>-0.39664999999999995</v>
      </c>
      <c r="O216" s="8" t="s">
        <v>22</v>
      </c>
      <c r="P216" s="12">
        <v>0.29685499999999998</v>
      </c>
      <c r="Q216" s="12">
        <v>0.12818999999999997</v>
      </c>
      <c r="R216" s="12">
        <v>0.10261999999999999</v>
      </c>
      <c r="S216" s="12">
        <v>-4.850000000000021E-3</v>
      </c>
      <c r="T216" s="12">
        <v>0.39025699999999997</v>
      </c>
      <c r="U216" s="12">
        <v>0.34175999999999995</v>
      </c>
      <c r="V216" s="12">
        <v>0.27595999999999998</v>
      </c>
      <c r="W216" s="12">
        <v>0.35166900000000001</v>
      </c>
      <c r="X216" s="12">
        <v>0.32136100000000001</v>
      </c>
      <c r="Y216" s="12">
        <v>0.26998999999999995</v>
      </c>
      <c r="Z216" s="12">
        <v>0.30588699999999996</v>
      </c>
      <c r="AA216" s="12">
        <v>0.310506</v>
      </c>
    </row>
    <row r="217" spans="1:27" ht="14.4" x14ac:dyDescent="0.55000000000000004">
      <c r="A217" s="25" t="s">
        <v>99</v>
      </c>
      <c r="B217" s="30" t="s">
        <v>64</v>
      </c>
      <c r="C217" s="13">
        <v>-2.1190000000000001E-2</v>
      </c>
      <c r="D217" s="13">
        <v>-0.11601</v>
      </c>
      <c r="E217" s="13">
        <v>-3.449E-2</v>
      </c>
      <c r="F217" s="13">
        <v>0.100257</v>
      </c>
      <c r="G217" s="13">
        <v>5.3010000000000002E-2</v>
      </c>
      <c r="H217" s="13">
        <v>7.0000000000000007E-2</v>
      </c>
      <c r="I217" s="13">
        <v>6.1669000000000002E-2</v>
      </c>
      <c r="J217" s="12">
        <v>6.9101999999999997E-2</v>
      </c>
      <c r="K217" s="12">
        <v>0.11</v>
      </c>
      <c r="L217" s="12">
        <v>0.05</v>
      </c>
      <c r="M217" s="12">
        <v>0.14992</v>
      </c>
      <c r="O217" s="25" t="s">
        <v>99</v>
      </c>
      <c r="P217" s="12">
        <v>0.31348799999999999</v>
      </c>
      <c r="Q217" s="12">
        <v>0.26880999999999999</v>
      </c>
      <c r="R217" s="12">
        <v>0.17398999999999998</v>
      </c>
      <c r="S217" s="12">
        <v>0.25550999999999996</v>
      </c>
      <c r="T217" s="12">
        <v>0.39025699999999997</v>
      </c>
      <c r="U217" s="12">
        <v>0.34300999999999998</v>
      </c>
      <c r="V217" s="12">
        <v>0.36</v>
      </c>
      <c r="W217" s="12">
        <v>0.35166900000000001</v>
      </c>
      <c r="X217" s="12">
        <v>0.35910199999999998</v>
      </c>
      <c r="Y217" s="12">
        <v>0.39999999999999997</v>
      </c>
      <c r="Z217" s="12">
        <v>0.33999999999999997</v>
      </c>
      <c r="AA217" s="12">
        <v>0.43991999999999998</v>
      </c>
    </row>
    <row r="218" spans="1:27" ht="14.4" x14ac:dyDescent="0.55000000000000004">
      <c r="A218" s="25"/>
      <c r="B218" s="30"/>
      <c r="C218" s="13"/>
      <c r="D218" s="13"/>
      <c r="E218" s="13"/>
      <c r="F218" s="13"/>
      <c r="G218" s="13"/>
      <c r="H218" s="13"/>
      <c r="I218" s="13"/>
      <c r="J218" s="12"/>
      <c r="K218" s="12"/>
      <c r="L218" s="12"/>
      <c r="M218" s="12"/>
    </row>
    <row r="219" spans="1:27" ht="14.4" x14ac:dyDescent="0.55000000000000004">
      <c r="A219" s="25"/>
      <c r="B219" s="30"/>
      <c r="C219" s="13"/>
      <c r="D219" s="13"/>
      <c r="E219" s="13"/>
      <c r="F219" s="13"/>
      <c r="G219" s="13"/>
      <c r="H219" s="13"/>
      <c r="I219" s="13"/>
      <c r="J219" s="12"/>
      <c r="K219" s="12"/>
      <c r="L219" s="12"/>
      <c r="M219" s="12"/>
    </row>
    <row r="220" spans="1:27" ht="14.4" x14ac:dyDescent="0.55000000000000004">
      <c r="A220" s="25"/>
      <c r="B220" s="30"/>
      <c r="C220" s="13"/>
      <c r="D220" s="13"/>
      <c r="E220" s="13"/>
      <c r="F220" s="13"/>
      <c r="G220" s="13"/>
      <c r="H220" s="13"/>
      <c r="I220" s="13"/>
      <c r="J220" s="12"/>
      <c r="K220" s="12"/>
      <c r="L220" s="12"/>
      <c r="M220" s="12"/>
    </row>
    <row r="221" spans="1:27" ht="14.4" x14ac:dyDescent="0.55000000000000004">
      <c r="A221" s="25"/>
      <c r="B221" s="30"/>
      <c r="C221" s="13"/>
      <c r="D221" s="13"/>
      <c r="E221" s="13"/>
      <c r="F221" s="13"/>
      <c r="G221" s="13"/>
      <c r="H221" s="13"/>
      <c r="I221" s="13"/>
      <c r="J221" s="12"/>
      <c r="K221" s="12"/>
      <c r="L221" s="12"/>
      <c r="M221" s="12"/>
    </row>
    <row r="222" spans="1:27" ht="14.4" x14ac:dyDescent="0.55000000000000004">
      <c r="A222" s="25"/>
      <c r="B222" s="30"/>
      <c r="C222" s="13"/>
      <c r="D222" s="13"/>
      <c r="E222" s="13"/>
      <c r="F222" s="13"/>
      <c r="G222" s="13"/>
      <c r="H222" s="13"/>
      <c r="I222" s="13"/>
      <c r="J222" s="12"/>
      <c r="K222" s="12"/>
      <c r="L222" s="12"/>
      <c r="M222" s="12"/>
    </row>
    <row r="223" spans="1:27" ht="14.4" x14ac:dyDescent="0.55000000000000004">
      <c r="A223" s="25"/>
      <c r="B223" s="30"/>
      <c r="C223" s="13"/>
      <c r="D223" s="13"/>
      <c r="E223" s="13"/>
      <c r="F223" s="13"/>
      <c r="G223" s="13"/>
      <c r="H223" s="13"/>
      <c r="I223" s="13"/>
      <c r="J223" s="12"/>
      <c r="K223" s="12"/>
      <c r="L223" s="12"/>
      <c r="M223" s="12"/>
    </row>
    <row r="224" spans="1:27" ht="30.3" x14ac:dyDescent="1">
      <c r="A224" s="31" t="s">
        <v>66</v>
      </c>
      <c r="B224" s="3"/>
      <c r="C224" s="7"/>
      <c r="D224" s="7"/>
      <c r="E224" s="6"/>
      <c r="F224" s="6"/>
      <c r="G224" s="7"/>
      <c r="H224" s="6"/>
      <c r="I224" s="7"/>
    </row>
    <row r="225" spans="1:14" ht="15.3" x14ac:dyDescent="0.55000000000000004">
      <c r="A225" s="24"/>
      <c r="B225" s="3"/>
      <c r="C225" s="7"/>
      <c r="D225" s="7"/>
      <c r="E225" s="6"/>
      <c r="F225" s="6"/>
      <c r="G225" s="7"/>
      <c r="H225" s="6"/>
      <c r="I225" s="7"/>
    </row>
    <row r="226" spans="1:14" ht="15" x14ac:dyDescent="0.5">
      <c r="A226" s="28" t="s">
        <v>1</v>
      </c>
      <c r="B226" s="3" t="s">
        <v>2</v>
      </c>
      <c r="C226" s="3" t="s">
        <v>3</v>
      </c>
      <c r="D226" s="3" t="s">
        <v>4</v>
      </c>
      <c r="E226" s="3" t="s">
        <v>5</v>
      </c>
      <c r="F226" s="3" t="s">
        <v>6</v>
      </c>
      <c r="G226" s="3" t="s">
        <v>7</v>
      </c>
      <c r="H226" s="3" t="s">
        <v>8</v>
      </c>
      <c r="I226" s="3" t="s">
        <v>9</v>
      </c>
      <c r="J226" s="3" t="s">
        <v>10</v>
      </c>
      <c r="K226" s="3" t="s">
        <v>11</v>
      </c>
      <c r="L226" s="3" t="s">
        <v>12</v>
      </c>
      <c r="M226" s="4">
        <v>151676</v>
      </c>
    </row>
    <row r="227" spans="1:14" ht="12.3" x14ac:dyDescent="0.4">
      <c r="A227" s="5" t="s">
        <v>13</v>
      </c>
      <c r="B227" s="6">
        <v>248.04218506813001</v>
      </c>
      <c r="C227" s="6">
        <v>217.02237510681101</v>
      </c>
      <c r="D227" s="6">
        <v>249.220753669738</v>
      </c>
      <c r="E227" s="6">
        <v>244.991358280181</v>
      </c>
      <c r="F227" s="6">
        <v>182.68318152427599</v>
      </c>
      <c r="G227" s="6">
        <v>169.03535413742</v>
      </c>
      <c r="H227" s="6">
        <v>199.561366081237</v>
      </c>
      <c r="I227" s="6">
        <v>173.31683611869801</v>
      </c>
      <c r="J227" s="6">
        <v>179.13008451461701</v>
      </c>
      <c r="K227" s="6">
        <v>176.73827004432599</v>
      </c>
      <c r="L227" s="6">
        <v>179.93805861473001</v>
      </c>
      <c r="M227" s="6">
        <v>172.54372525215101</v>
      </c>
      <c r="N227" s="41">
        <f>SUM(B227:M227)</f>
        <v>2392.2235484123148</v>
      </c>
    </row>
    <row r="228" spans="1:14" ht="12.3" x14ac:dyDescent="0.4">
      <c r="A228" s="5" t="s">
        <v>14</v>
      </c>
      <c r="B228" s="6">
        <v>701.62085056304898</v>
      </c>
      <c r="C228" s="6">
        <v>592.92975449562005</v>
      </c>
      <c r="D228" s="6">
        <v>725.45599818229596</v>
      </c>
      <c r="E228" s="6">
        <v>774.11634063720703</v>
      </c>
      <c r="F228" s="6">
        <v>547.64082026481606</v>
      </c>
      <c r="G228" s="6">
        <v>515.74179100990295</v>
      </c>
      <c r="H228" s="6">
        <v>550.65251851081803</v>
      </c>
      <c r="I228" s="6">
        <v>528.56935882568303</v>
      </c>
      <c r="J228" s="6">
        <v>519.91400957107498</v>
      </c>
      <c r="K228" s="6">
        <v>528.26585626602105</v>
      </c>
      <c r="L228" s="6">
        <v>514.96614837646405</v>
      </c>
      <c r="M228" s="6">
        <v>454.35775065422001</v>
      </c>
      <c r="N228" s="41">
        <f t="shared" ref="N228:N247" si="6">SUM(B228:M228)</f>
        <v>6954.2311973571714</v>
      </c>
    </row>
    <row r="229" spans="1:14" ht="12.3" x14ac:dyDescent="0.4">
      <c r="A229" s="5" t="s">
        <v>15</v>
      </c>
      <c r="B229" s="6">
        <v>79.094640254974294</v>
      </c>
      <c r="C229" s="6">
        <v>50.7459232807159</v>
      </c>
      <c r="D229" s="6">
        <v>38.308586120605398</v>
      </c>
      <c r="E229" s="6">
        <v>50.226884126663201</v>
      </c>
      <c r="F229" s="6">
        <v>28.949137926101599</v>
      </c>
      <c r="G229" s="6">
        <v>26.9458005428314</v>
      </c>
      <c r="H229" s="6">
        <v>34.155169725417998</v>
      </c>
      <c r="I229" s="6">
        <v>30.812891244888299</v>
      </c>
      <c r="J229" s="6">
        <v>21.764157056808401</v>
      </c>
      <c r="K229" s="6">
        <v>39.709741592407198</v>
      </c>
      <c r="L229" s="6">
        <v>41.904331445693899</v>
      </c>
      <c r="M229" s="6">
        <v>36.572896242141702</v>
      </c>
      <c r="N229" s="41">
        <f t="shared" si="6"/>
        <v>479.19015955924937</v>
      </c>
    </row>
    <row r="230" spans="1:14" ht="12.3" x14ac:dyDescent="0.4">
      <c r="A230" s="5" t="s">
        <v>16</v>
      </c>
      <c r="B230" s="6">
        <v>75.196268558502197</v>
      </c>
      <c r="C230" s="6">
        <v>41.092186450958202</v>
      </c>
      <c r="D230" s="6">
        <v>51.244391441345201</v>
      </c>
      <c r="E230" s="6">
        <v>48.443339586257899</v>
      </c>
      <c r="F230" s="6">
        <v>49.581439495086599</v>
      </c>
      <c r="G230" s="6">
        <v>58.0237555503845</v>
      </c>
      <c r="H230" s="6">
        <v>114.897999048233</v>
      </c>
      <c r="I230" s="6">
        <v>44.137853384017902</v>
      </c>
      <c r="J230" s="6">
        <v>37.843484878540004</v>
      </c>
      <c r="K230" s="6">
        <v>39.374790668487499</v>
      </c>
      <c r="L230" s="6">
        <v>38.099832296371403</v>
      </c>
      <c r="M230" s="6">
        <v>38.228928089141803</v>
      </c>
      <c r="N230" s="41">
        <f t="shared" si="6"/>
        <v>636.16426944732621</v>
      </c>
    </row>
    <row r="231" spans="1:14" ht="12.3" x14ac:dyDescent="0.4">
      <c r="A231" s="5" t="s">
        <v>17</v>
      </c>
      <c r="B231" s="6">
        <v>223.044886350631</v>
      </c>
      <c r="C231" s="6">
        <v>253.357859373092</v>
      </c>
      <c r="D231" s="6">
        <v>309.464200258255</v>
      </c>
      <c r="E231" s="6">
        <v>286.11516332626297</v>
      </c>
      <c r="F231" s="6">
        <v>173.19447183609</v>
      </c>
      <c r="G231" s="6">
        <v>175.634501934051</v>
      </c>
      <c r="H231" s="6">
        <v>219.854627132415</v>
      </c>
      <c r="I231" s="6">
        <v>200.98553228378199</v>
      </c>
      <c r="J231" s="6">
        <v>213.469737052917</v>
      </c>
      <c r="K231" s="6">
        <v>177.303038597106</v>
      </c>
      <c r="L231" s="6">
        <v>177.557912826538</v>
      </c>
      <c r="M231" s="6">
        <v>145.52196621894799</v>
      </c>
      <c r="N231" s="41">
        <f t="shared" si="6"/>
        <v>2555.5038971900881</v>
      </c>
    </row>
    <row r="232" spans="1:14" ht="12.3" x14ac:dyDescent="0.4">
      <c r="A232" s="5" t="s">
        <v>18</v>
      </c>
      <c r="B232" s="6">
        <v>73.112632751464801</v>
      </c>
      <c r="C232" s="6">
        <v>65.799126386642399</v>
      </c>
      <c r="D232" s="6">
        <v>92.562977313995304</v>
      </c>
      <c r="E232" s="6">
        <v>87.641527652740393</v>
      </c>
      <c r="F232" s="6">
        <v>64.638130664825397</v>
      </c>
      <c r="G232" s="6">
        <v>64.952477216720496</v>
      </c>
      <c r="H232" s="6">
        <v>54.502254009246798</v>
      </c>
      <c r="I232" s="6">
        <v>49.452005147933903</v>
      </c>
      <c r="J232" s="6">
        <v>53.5012817382812</v>
      </c>
      <c r="K232" s="6">
        <v>65.863883495330796</v>
      </c>
      <c r="L232" s="6">
        <v>64.109711885452199</v>
      </c>
      <c r="M232" s="6">
        <v>58.001094341277998</v>
      </c>
      <c r="N232" s="41">
        <f t="shared" si="6"/>
        <v>794.13710260391167</v>
      </c>
    </row>
    <row r="233" spans="1:14" ht="14.4" x14ac:dyDescent="0.55000000000000004">
      <c r="A233" s="5" t="s">
        <v>19</v>
      </c>
      <c r="B233" s="7">
        <v>23.415050000000001</v>
      </c>
      <c r="C233" s="7">
        <v>20.876339999999999</v>
      </c>
      <c r="D233" s="7">
        <v>24.776900000000001</v>
      </c>
      <c r="E233" s="7">
        <v>22.592220000000001</v>
      </c>
      <c r="F233" s="7">
        <v>27.63467</v>
      </c>
      <c r="G233" s="7">
        <v>31.289249999999999</v>
      </c>
      <c r="H233" s="7">
        <v>18.176079999999999</v>
      </c>
      <c r="I233" s="7">
        <v>21.86365</v>
      </c>
      <c r="J233" s="7">
        <v>19.144380000000002</v>
      </c>
      <c r="K233" s="7">
        <v>26.164860000000001</v>
      </c>
      <c r="L233" s="7">
        <v>21.49408</v>
      </c>
      <c r="M233" s="7">
        <v>15.822620000000001</v>
      </c>
      <c r="N233" s="41">
        <f t="shared" si="6"/>
        <v>273.25010000000009</v>
      </c>
    </row>
    <row r="234" spans="1:14" ht="14.4" x14ac:dyDescent="0.55000000000000004">
      <c r="A234" s="8" t="s">
        <v>100</v>
      </c>
      <c r="B234" s="12">
        <v>86.2</v>
      </c>
      <c r="C234" s="13">
        <v>0</v>
      </c>
      <c r="D234" s="13">
        <v>62.33</v>
      </c>
      <c r="E234" s="13">
        <v>64.510000000000005</v>
      </c>
      <c r="F234" s="13">
        <v>60.61</v>
      </c>
      <c r="G234" s="13">
        <v>49.28</v>
      </c>
      <c r="H234" s="13">
        <v>54.15</v>
      </c>
      <c r="I234" s="13">
        <v>56.16</v>
      </c>
      <c r="J234" s="12">
        <v>45.09</v>
      </c>
      <c r="K234" s="12">
        <v>47.34</v>
      </c>
      <c r="L234" s="12">
        <v>50.45</v>
      </c>
      <c r="M234" s="12">
        <v>50.85</v>
      </c>
      <c r="N234" s="41">
        <f t="shared" si="6"/>
        <v>626.97000000000014</v>
      </c>
    </row>
    <row r="235" spans="1:14" ht="14.4" x14ac:dyDescent="0.55000000000000004">
      <c r="A235" s="10" t="s">
        <v>106</v>
      </c>
      <c r="B235" s="12">
        <v>30.532360000000001</v>
      </c>
      <c r="C235" s="13">
        <v>31.483090000000001</v>
      </c>
      <c r="D235" s="13">
        <v>32.499679999999998</v>
      </c>
      <c r="E235" s="13">
        <v>32.458449999999999</v>
      </c>
      <c r="F235" s="13">
        <v>29.211649999999999</v>
      </c>
      <c r="G235" s="13">
        <v>28.00055</v>
      </c>
      <c r="H235" s="13">
        <v>33.49335</v>
      </c>
      <c r="I235" s="13">
        <v>30.776060000000001</v>
      </c>
      <c r="J235" s="12">
        <v>28.50902</v>
      </c>
      <c r="K235" s="12">
        <v>28.985769999999999</v>
      </c>
      <c r="L235" s="12">
        <v>27.499770000000002</v>
      </c>
      <c r="M235" s="12">
        <v>25.72926</v>
      </c>
      <c r="N235" s="41">
        <f t="shared" si="6"/>
        <v>359.17901000000001</v>
      </c>
    </row>
    <row r="236" spans="1:14" ht="14.4" x14ac:dyDescent="0.55000000000000004">
      <c r="A236" s="10" t="s">
        <v>107</v>
      </c>
      <c r="B236" s="12">
        <v>52.951500000000003</v>
      </c>
      <c r="C236" s="13">
        <v>49.990519999999997</v>
      </c>
      <c r="D236" s="13">
        <v>58.572189999999999</v>
      </c>
      <c r="E236" s="13">
        <v>60.388939999999998</v>
      </c>
      <c r="F236" s="13">
        <v>47.53125</v>
      </c>
      <c r="G236" s="13">
        <v>45.891269999999999</v>
      </c>
      <c r="H236" s="13">
        <v>52.309669999999997</v>
      </c>
      <c r="I236" s="13">
        <v>46.548279999999998</v>
      </c>
      <c r="J236" s="12">
        <v>46.43526</v>
      </c>
      <c r="K236" s="12">
        <v>42.837380000000003</v>
      </c>
      <c r="L236" s="12">
        <v>41.495649999999998</v>
      </c>
      <c r="M236" s="12">
        <v>42.447539999999996</v>
      </c>
      <c r="N236" s="41">
        <f t="shared" si="6"/>
        <v>587.39945</v>
      </c>
    </row>
    <row r="237" spans="1:14" ht="14.4" x14ac:dyDescent="0.55000000000000004">
      <c r="A237" s="10" t="s">
        <v>108</v>
      </c>
      <c r="B237" s="12">
        <v>372.55239999999998</v>
      </c>
      <c r="C237" s="13">
        <v>339.66739999999999</v>
      </c>
      <c r="D237" s="13">
        <v>346.15699999999998</v>
      </c>
      <c r="E237" s="13">
        <v>336.89260000000002</v>
      </c>
      <c r="F237" s="13">
        <v>271.32549999999998</v>
      </c>
      <c r="G237" s="13">
        <v>256.7396</v>
      </c>
      <c r="H237" s="13">
        <v>326.87459999999999</v>
      </c>
      <c r="I237" s="13">
        <v>322.38330000000002</v>
      </c>
      <c r="J237" s="12">
        <v>277.06900000000002</v>
      </c>
      <c r="K237" s="12">
        <v>289.99829999999997</v>
      </c>
      <c r="L237" s="12">
        <v>273.48419999999999</v>
      </c>
      <c r="M237" s="12">
        <v>260.48939999999999</v>
      </c>
      <c r="N237" s="41">
        <f t="shared" si="6"/>
        <v>3673.6333</v>
      </c>
    </row>
    <row r="238" spans="1:14" ht="14.4" x14ac:dyDescent="0.55000000000000004">
      <c r="A238" s="10" t="s">
        <v>109</v>
      </c>
      <c r="B238" s="12">
        <v>331.59949999999998</v>
      </c>
      <c r="C238" s="13">
        <v>395.00279999999998</v>
      </c>
      <c r="D238" s="13">
        <v>412.24599999999998</v>
      </c>
      <c r="E238" s="13">
        <v>393.61720000000003</v>
      </c>
      <c r="F238" s="13">
        <v>317.04559999999998</v>
      </c>
      <c r="G238" s="13">
        <v>309.96690000000001</v>
      </c>
      <c r="H238" s="13">
        <v>317.19639999999998</v>
      </c>
      <c r="I238" s="13">
        <v>315.76049999999998</v>
      </c>
      <c r="J238" s="12">
        <v>321.22559999999999</v>
      </c>
      <c r="K238" s="12">
        <v>318.65210000000002</v>
      </c>
      <c r="L238" s="12">
        <v>312.39120000000003</v>
      </c>
      <c r="M238" s="12">
        <v>303.79320000000001</v>
      </c>
      <c r="N238" s="41">
        <f t="shared" si="6"/>
        <v>4048.4970000000003</v>
      </c>
    </row>
    <row r="239" spans="1:14" ht="14.4" x14ac:dyDescent="0.55000000000000004">
      <c r="A239" s="10" t="s">
        <v>110</v>
      </c>
      <c r="B239" s="12">
        <v>400.76330000000002</v>
      </c>
      <c r="C239" s="13">
        <v>346.33150000000001</v>
      </c>
      <c r="D239" s="13">
        <v>352.37450000000001</v>
      </c>
      <c r="E239" s="13">
        <v>344.48099999999999</v>
      </c>
      <c r="F239" s="13">
        <v>272.84309999999999</v>
      </c>
      <c r="G239" s="13">
        <v>250.0718</v>
      </c>
      <c r="H239" s="13">
        <v>291.49419999999998</v>
      </c>
      <c r="I239" s="13">
        <v>286.79309999999998</v>
      </c>
      <c r="J239" s="12">
        <v>259.44189999999998</v>
      </c>
      <c r="K239" s="12">
        <v>270.99650000000003</v>
      </c>
      <c r="L239" s="12">
        <v>251.5915</v>
      </c>
      <c r="M239" s="12">
        <v>240.54339999999999</v>
      </c>
      <c r="N239" s="41">
        <f t="shared" si="6"/>
        <v>3567.7258000000002</v>
      </c>
    </row>
    <row r="240" spans="1:14" ht="14.4" x14ac:dyDescent="0.55000000000000004">
      <c r="A240" s="10" t="s">
        <v>111</v>
      </c>
      <c r="B240" s="12">
        <v>54.960760000000001</v>
      </c>
      <c r="C240" s="13">
        <v>76.15728</v>
      </c>
      <c r="D240" s="13">
        <v>68.06344</v>
      </c>
      <c r="E240" s="13">
        <v>61.75226</v>
      </c>
      <c r="F240" s="13">
        <v>47.000619999999998</v>
      </c>
      <c r="G240" s="13">
        <v>46.033230000000003</v>
      </c>
      <c r="H240" s="13">
        <v>54.214419999999997</v>
      </c>
      <c r="I240" s="13">
        <v>53.032350000000001</v>
      </c>
      <c r="J240" s="12">
        <v>47.50806</v>
      </c>
      <c r="K240" s="12">
        <v>50.737369999999999</v>
      </c>
      <c r="L240" s="12">
        <v>48.755220000000001</v>
      </c>
      <c r="M240" s="12">
        <v>46.95411</v>
      </c>
      <c r="N240" s="41">
        <f t="shared" si="6"/>
        <v>655.16912000000002</v>
      </c>
    </row>
    <row r="241" spans="1:14" ht="14.4" x14ac:dyDescent="0.55000000000000004">
      <c r="A241" s="14" t="s">
        <v>112</v>
      </c>
      <c r="B241" s="12">
        <v>276.09910000000002</v>
      </c>
      <c r="C241" s="13">
        <v>285.61419999999998</v>
      </c>
      <c r="D241" s="13">
        <v>319.88569999999999</v>
      </c>
      <c r="E241" s="13">
        <v>297.8614</v>
      </c>
      <c r="F241" s="13">
        <v>295.29390000000001</v>
      </c>
      <c r="G241" s="13">
        <v>289.67540000000002</v>
      </c>
      <c r="H241" s="13">
        <v>363.65069999999997</v>
      </c>
      <c r="I241" s="13">
        <v>275.89030000000002</v>
      </c>
      <c r="J241" s="12">
        <v>211.8075</v>
      </c>
      <c r="K241" s="12">
        <v>218.3938</v>
      </c>
      <c r="L241" s="12">
        <v>209.99289999999999</v>
      </c>
      <c r="M241" s="12">
        <v>204.88929999999999</v>
      </c>
      <c r="N241" s="41">
        <f t="shared" si="6"/>
        <v>3249.0542</v>
      </c>
    </row>
    <row r="242" spans="1:14" ht="14.4" x14ac:dyDescent="0.55000000000000004">
      <c r="A242" s="15" t="s">
        <v>113</v>
      </c>
      <c r="B242" s="12">
        <v>58.787590000000002</v>
      </c>
      <c r="C242" s="13">
        <v>94.299639999999997</v>
      </c>
      <c r="D242" s="13">
        <v>102.7024</v>
      </c>
      <c r="E242" s="13">
        <v>108.1075</v>
      </c>
      <c r="F242" s="13">
        <v>63.54918</v>
      </c>
      <c r="G242" s="13">
        <v>58.697400000000002</v>
      </c>
      <c r="H242" s="13">
        <v>61.209569999999999</v>
      </c>
      <c r="I242" s="13">
        <v>63.097670000000001</v>
      </c>
      <c r="J242" s="12">
        <v>57.191920000000003</v>
      </c>
      <c r="K242" s="12">
        <v>57.339799999999997</v>
      </c>
      <c r="L242" s="12">
        <v>49.155299999999997</v>
      </c>
      <c r="M242" s="12">
        <v>46.88073</v>
      </c>
      <c r="N242" s="41">
        <f t="shared" si="6"/>
        <v>821.01869999999997</v>
      </c>
    </row>
    <row r="243" spans="1:14" ht="14.4" x14ac:dyDescent="0.55000000000000004">
      <c r="A243" s="16" t="s">
        <v>114</v>
      </c>
      <c r="B243" s="12">
        <v>275.79509999999999</v>
      </c>
      <c r="C243" s="13">
        <v>278.79309999999998</v>
      </c>
      <c r="D243" s="13">
        <v>302.65370000000001</v>
      </c>
      <c r="E243" s="13">
        <v>306.14319999999998</v>
      </c>
      <c r="F243" s="13">
        <v>227.15209999999999</v>
      </c>
      <c r="G243" s="13">
        <v>220.4889</v>
      </c>
      <c r="H243" s="13">
        <v>274.18740000000003</v>
      </c>
      <c r="I243" s="13">
        <v>251.4735</v>
      </c>
      <c r="J243" s="12">
        <v>224.20150000000001</v>
      </c>
      <c r="K243" s="12">
        <v>219.87469999999999</v>
      </c>
      <c r="L243" s="12">
        <v>225.26150000000001</v>
      </c>
      <c r="M243" s="12">
        <v>229.24160000000001</v>
      </c>
      <c r="N243" s="41">
        <f t="shared" si="6"/>
        <v>3035.2662999999998</v>
      </c>
    </row>
    <row r="244" spans="1:14" ht="14.4" x14ac:dyDescent="0.55000000000000004">
      <c r="A244" s="8" t="s">
        <v>115</v>
      </c>
      <c r="B244" s="12">
        <v>83.316079999999999</v>
      </c>
      <c r="C244" s="13">
        <v>104.1718</v>
      </c>
      <c r="D244" s="13">
        <v>97.615889999999993</v>
      </c>
      <c r="E244" s="13">
        <v>114.3008</v>
      </c>
      <c r="F244" s="13">
        <v>86.743290000000002</v>
      </c>
      <c r="G244" s="13">
        <v>77.217960000000005</v>
      </c>
      <c r="H244" s="13">
        <v>82.252830000000003</v>
      </c>
      <c r="I244" s="13">
        <v>95.566159999999996</v>
      </c>
      <c r="J244" s="12">
        <v>78.833349999999996</v>
      </c>
      <c r="K244" s="12">
        <v>84.034030000000001</v>
      </c>
      <c r="L244" s="12">
        <v>73.921660000000003</v>
      </c>
      <c r="M244" s="12">
        <v>72.256010000000003</v>
      </c>
      <c r="N244" s="41">
        <f t="shared" si="6"/>
        <v>1050.2298599999999</v>
      </c>
    </row>
    <row r="245" spans="1:14" ht="14.4" x14ac:dyDescent="0.55000000000000004">
      <c r="A245" s="10" t="s">
        <v>20</v>
      </c>
      <c r="B245" s="12">
        <v>180.26560000000001</v>
      </c>
      <c r="C245" s="13">
        <v>198.3929</v>
      </c>
      <c r="D245" s="13">
        <v>199.3631</v>
      </c>
      <c r="E245" s="13">
        <v>185.77099999999999</v>
      </c>
      <c r="F245" s="13">
        <v>175.88409999999999</v>
      </c>
      <c r="G245" s="13">
        <v>200.11199999999999</v>
      </c>
      <c r="H245" s="13">
        <v>186.12049999999999</v>
      </c>
      <c r="I245" s="13">
        <v>185.08080000000001</v>
      </c>
      <c r="J245" s="12">
        <v>176.20779999999999</v>
      </c>
      <c r="K245" s="12">
        <v>173.1755</v>
      </c>
      <c r="L245" s="12">
        <v>173.8442</v>
      </c>
      <c r="M245" s="12">
        <v>164.6241</v>
      </c>
      <c r="N245" s="41">
        <f t="shared" si="6"/>
        <v>2198.8415999999997</v>
      </c>
    </row>
    <row r="246" spans="1:14" ht="14.4" x14ac:dyDescent="0.55000000000000004">
      <c r="A246" s="8" t="s">
        <v>21</v>
      </c>
      <c r="B246" s="12">
        <v>182.2114</v>
      </c>
      <c r="C246" s="13">
        <v>203.01230000000001</v>
      </c>
      <c r="D246" s="13">
        <v>229.7723</v>
      </c>
      <c r="E246" s="13">
        <v>199.57509999999999</v>
      </c>
      <c r="F246" s="13">
        <v>172.7063</v>
      </c>
      <c r="G246" s="13">
        <v>156.27959999999999</v>
      </c>
      <c r="H246" s="13">
        <v>184.85810000000001</v>
      </c>
      <c r="I246" s="13">
        <v>171.4162</v>
      </c>
      <c r="J246" s="12">
        <v>169.53450000000001</v>
      </c>
      <c r="K246" s="12">
        <v>174.56319999999999</v>
      </c>
      <c r="L246" s="12">
        <v>155.57939999999999</v>
      </c>
      <c r="M246" s="12">
        <v>172.31309999999999</v>
      </c>
      <c r="N246" s="41">
        <f t="shared" si="6"/>
        <v>2171.8215</v>
      </c>
    </row>
    <row r="247" spans="1:14" ht="14.4" x14ac:dyDescent="0.55000000000000004">
      <c r="A247" s="8" t="s">
        <v>22</v>
      </c>
      <c r="B247" s="12">
        <v>317.79399999999998</v>
      </c>
      <c r="C247" s="13">
        <v>312.07060000000001</v>
      </c>
      <c r="D247" s="13">
        <v>317.37209999999999</v>
      </c>
      <c r="E247" s="13">
        <v>354.73340000000002</v>
      </c>
      <c r="F247" s="13">
        <v>310.59539999999998</v>
      </c>
      <c r="G247" s="13">
        <v>279.29390000000001</v>
      </c>
      <c r="H247" s="13">
        <v>296.0736</v>
      </c>
      <c r="I247" s="13">
        <v>290.70310000000001</v>
      </c>
      <c r="J247" s="12">
        <v>283.35239999999999</v>
      </c>
      <c r="K247" s="12">
        <v>284.41820000000001</v>
      </c>
      <c r="L247" s="12">
        <v>287.32499999999999</v>
      </c>
      <c r="M247" s="12">
        <v>276.19589999999999</v>
      </c>
      <c r="N247" s="41">
        <f t="shared" si="6"/>
        <v>3609.9276000000004</v>
      </c>
    </row>
    <row r="248" spans="1:14" ht="14.4" x14ac:dyDescent="0.55000000000000004">
      <c r="A248" s="25" t="s">
        <v>99</v>
      </c>
      <c r="B248" s="43">
        <f>SUM(B234,B244,B246,B247)</f>
        <v>669.52148</v>
      </c>
      <c r="C248" s="43">
        <f t="shared" ref="C248:M248" si="7">SUM(C234,C244,C246,C247)</f>
        <v>619.25469999999996</v>
      </c>
      <c r="D248" s="43">
        <f t="shared" si="7"/>
        <v>707.09028999999998</v>
      </c>
      <c r="E248" s="43">
        <f t="shared" si="7"/>
        <v>733.11930000000007</v>
      </c>
      <c r="F248" s="43">
        <f t="shared" si="7"/>
        <v>630.65499</v>
      </c>
      <c r="G248" s="43">
        <f t="shared" si="7"/>
        <v>562.07146</v>
      </c>
      <c r="H248" s="43">
        <f t="shared" si="7"/>
        <v>617.33453000000009</v>
      </c>
      <c r="I248" s="43">
        <f t="shared" si="7"/>
        <v>613.84546</v>
      </c>
      <c r="J248" s="43">
        <f t="shared" si="7"/>
        <v>576.81025</v>
      </c>
      <c r="K248" s="43">
        <f t="shared" si="7"/>
        <v>590.35543000000007</v>
      </c>
      <c r="L248" s="43">
        <f t="shared" si="7"/>
        <v>567.27605999999992</v>
      </c>
      <c r="M248" s="43">
        <f t="shared" si="7"/>
        <v>571.61500999999998</v>
      </c>
      <c r="N248" s="43"/>
    </row>
    <row r="249" spans="1:14" ht="14.4" x14ac:dyDescent="0.55000000000000004">
      <c r="A249" s="25"/>
      <c r="B249" s="30"/>
      <c r="C249" s="13"/>
      <c r="D249" s="13"/>
      <c r="E249" s="13"/>
      <c r="F249" s="13"/>
      <c r="G249" s="13"/>
      <c r="H249" s="13"/>
      <c r="I249" s="13"/>
      <c r="J249" s="12"/>
      <c r="K249" s="12"/>
      <c r="L249" s="12"/>
      <c r="M249" s="12"/>
    </row>
    <row r="250" spans="1:14" ht="14.4" x14ac:dyDescent="0.55000000000000004">
      <c r="A250" s="25"/>
      <c r="B250" s="30"/>
      <c r="C250" s="13"/>
      <c r="D250" s="13"/>
      <c r="E250" s="13"/>
      <c r="F250" s="13"/>
      <c r="G250" s="13"/>
      <c r="H250" s="13"/>
      <c r="I250" s="13"/>
      <c r="J250" s="12"/>
      <c r="K250" s="12"/>
      <c r="L250" s="12"/>
      <c r="M250" s="12"/>
    </row>
    <row r="251" spans="1:14" ht="14.4" x14ac:dyDescent="0.55000000000000004">
      <c r="A251" s="25"/>
      <c r="B251" s="42"/>
      <c r="C251" s="13"/>
      <c r="D251" s="13"/>
      <c r="E251" s="13"/>
      <c r="F251" s="13"/>
      <c r="G251" s="13"/>
      <c r="H251" s="13"/>
      <c r="I251" s="13"/>
      <c r="J251" s="12"/>
      <c r="K251" s="12"/>
      <c r="L251" s="12"/>
      <c r="M251" s="12"/>
    </row>
    <row r="252" spans="1:14" ht="14.4" x14ac:dyDescent="0.55000000000000004">
      <c r="A252" s="25"/>
      <c r="B252" s="30"/>
      <c r="C252" s="13"/>
      <c r="D252" s="13"/>
      <c r="E252" s="13"/>
      <c r="F252" s="13"/>
      <c r="G252" s="13"/>
      <c r="H252" s="13"/>
      <c r="I252" s="13"/>
      <c r="J252" s="12"/>
      <c r="K252" s="12"/>
      <c r="L252" s="12"/>
      <c r="M252" s="12"/>
    </row>
    <row r="253" spans="1:14" ht="14.4" x14ac:dyDescent="0.55000000000000004">
      <c r="A253" s="25"/>
      <c r="B253" s="30"/>
      <c r="C253" s="13"/>
      <c r="D253" s="13"/>
      <c r="E253" s="13"/>
      <c r="F253" s="13"/>
      <c r="G253" s="13"/>
      <c r="H253" s="13"/>
      <c r="I253" s="13"/>
      <c r="J253" s="12"/>
      <c r="K253" s="12"/>
      <c r="L253" s="12"/>
      <c r="M253" s="12"/>
    </row>
    <row r="254" spans="1:14" ht="14.4" x14ac:dyDescent="0.55000000000000004">
      <c r="A254" s="25"/>
      <c r="B254" s="30"/>
      <c r="C254" s="13"/>
      <c r="D254" s="13"/>
      <c r="E254" s="13"/>
      <c r="F254" s="13"/>
      <c r="G254" s="13"/>
      <c r="H254" s="13"/>
      <c r="I254" s="13"/>
      <c r="J254" s="12"/>
      <c r="K254" s="12"/>
      <c r="L254" s="12"/>
      <c r="M254" s="12"/>
    </row>
    <row r="255" spans="1:14" ht="30.3" x14ac:dyDescent="1">
      <c r="A255" s="31" t="s">
        <v>67</v>
      </c>
      <c r="B255" s="3"/>
      <c r="C255" s="6"/>
      <c r="D255" s="6"/>
      <c r="E255" s="6"/>
      <c r="F255" s="6"/>
      <c r="G255" s="6"/>
      <c r="H255" s="6"/>
      <c r="I255" s="7"/>
    </row>
    <row r="256" spans="1:14" ht="15.3" x14ac:dyDescent="0.55000000000000004">
      <c r="A256" s="24"/>
      <c r="B256" s="3"/>
      <c r="C256" s="6"/>
      <c r="D256" s="6"/>
      <c r="E256" s="6"/>
      <c r="F256" s="6"/>
      <c r="G256" s="6"/>
      <c r="H256" s="6"/>
      <c r="I256" s="7"/>
    </row>
    <row r="257" spans="1:14" ht="15" x14ac:dyDescent="0.5">
      <c r="A257" s="28" t="s">
        <v>1</v>
      </c>
      <c r="B257" s="3" t="s">
        <v>2</v>
      </c>
      <c r="C257" s="3" t="s">
        <v>3</v>
      </c>
      <c r="D257" s="3" t="s">
        <v>4</v>
      </c>
      <c r="E257" s="3" t="s">
        <v>5</v>
      </c>
      <c r="F257" s="3" t="s">
        <v>6</v>
      </c>
      <c r="G257" s="3" t="s">
        <v>7</v>
      </c>
      <c r="H257" s="3" t="s">
        <v>8</v>
      </c>
      <c r="I257" s="3" t="s">
        <v>9</v>
      </c>
      <c r="J257" s="3" t="s">
        <v>10</v>
      </c>
      <c r="K257" s="3" t="s">
        <v>11</v>
      </c>
      <c r="L257" s="3" t="s">
        <v>12</v>
      </c>
      <c r="M257" s="4">
        <v>151676</v>
      </c>
    </row>
    <row r="258" spans="1:14" ht="12.3" x14ac:dyDescent="0.4">
      <c r="A258" s="5" t="s">
        <v>13</v>
      </c>
      <c r="B258" s="6">
        <v>753.24439144134499</v>
      </c>
      <c r="C258" s="6">
        <v>825.55967235565095</v>
      </c>
      <c r="D258" s="6">
        <v>927.86729431152298</v>
      </c>
      <c r="E258" s="6">
        <v>888.84022426605202</v>
      </c>
      <c r="F258" s="6">
        <v>768.42948150634697</v>
      </c>
      <c r="G258" s="6">
        <v>727.20119094848599</v>
      </c>
      <c r="H258" s="6">
        <v>860.62768363952603</v>
      </c>
      <c r="I258" s="6">
        <v>827.49532890319801</v>
      </c>
      <c r="J258" s="6">
        <v>805.62419605255104</v>
      </c>
      <c r="K258" s="6">
        <v>867.07952117919899</v>
      </c>
      <c r="L258" s="6">
        <v>760.38121700286797</v>
      </c>
      <c r="M258" s="6">
        <v>748.31784915924004</v>
      </c>
      <c r="N258" s="41">
        <f>SUM(B258:M258)</f>
        <v>9760.6680507659876</v>
      </c>
    </row>
    <row r="259" spans="1:14" ht="12.3" x14ac:dyDescent="0.4">
      <c r="A259" s="5" t="s">
        <v>14</v>
      </c>
      <c r="B259" s="6">
        <v>5835.2830200195303</v>
      </c>
      <c r="C259" s="6">
        <v>6041.9066467285102</v>
      </c>
      <c r="D259" s="6">
        <v>6603.8562078475898</v>
      </c>
      <c r="E259" s="6">
        <v>6389.20909786224</v>
      </c>
      <c r="F259" s="6">
        <v>5077.7266311645499</v>
      </c>
      <c r="G259" s="6">
        <v>4853.6168947219803</v>
      </c>
      <c r="H259" s="6">
        <v>5700.0639638900702</v>
      </c>
      <c r="I259" s="6">
        <v>5557.5525150299</v>
      </c>
      <c r="J259" s="6">
        <v>5059.1863546371396</v>
      </c>
      <c r="K259" s="6">
        <v>5119.1905498504602</v>
      </c>
      <c r="L259" s="6">
        <v>4984.3906145095798</v>
      </c>
      <c r="M259" s="6">
        <v>4809.1261968612598</v>
      </c>
      <c r="N259" s="41">
        <f t="shared" ref="N259:N278" si="8">SUM(B259:M259)</f>
        <v>66031.108693122806</v>
      </c>
    </row>
    <row r="260" spans="1:14" ht="12.3" x14ac:dyDescent="0.4">
      <c r="A260" s="5" t="s">
        <v>15</v>
      </c>
      <c r="B260" s="6">
        <v>334.04881095886202</v>
      </c>
      <c r="C260" s="6">
        <v>328.37675380706702</v>
      </c>
      <c r="D260" s="6">
        <v>385.76993751525799</v>
      </c>
      <c r="E260" s="6">
        <v>420.04254055023102</v>
      </c>
      <c r="F260" s="6">
        <v>283.26099014282198</v>
      </c>
      <c r="G260" s="6">
        <v>263.59090137481599</v>
      </c>
      <c r="H260" s="6">
        <v>321.39094066619799</v>
      </c>
      <c r="I260" s="6">
        <v>307.81188964843699</v>
      </c>
      <c r="J260" s="6">
        <v>390.168406486511</v>
      </c>
      <c r="K260" s="6">
        <v>454.92144393920898</v>
      </c>
      <c r="L260" s="6">
        <v>280.63203811645502</v>
      </c>
      <c r="M260" s="6">
        <v>286.15721416473298</v>
      </c>
      <c r="N260" s="41">
        <f t="shared" si="8"/>
        <v>4056.1718673705991</v>
      </c>
    </row>
    <row r="261" spans="1:14" ht="12.3" x14ac:dyDescent="0.4">
      <c r="A261" s="5" t="s">
        <v>16</v>
      </c>
      <c r="B261" s="6">
        <v>337.34301662445</v>
      </c>
      <c r="C261" s="6">
        <v>379.19263362884499</v>
      </c>
      <c r="D261" s="6">
        <v>379.06494903564402</v>
      </c>
      <c r="E261" s="6">
        <v>379.06407451629599</v>
      </c>
      <c r="F261" s="6">
        <v>379.06366062164301</v>
      </c>
      <c r="G261" s="6">
        <v>379.063401222229</v>
      </c>
      <c r="H261" s="6">
        <v>379.062933921813</v>
      </c>
      <c r="I261" s="6">
        <v>379.06271171569801</v>
      </c>
      <c r="J261" s="6">
        <v>379.06294631958002</v>
      </c>
      <c r="K261" s="6">
        <v>379.062819480896</v>
      </c>
      <c r="L261" s="6">
        <v>379.06259536743102</v>
      </c>
      <c r="M261" s="6">
        <v>379.06248474121003</v>
      </c>
      <c r="N261" s="41">
        <f t="shared" si="8"/>
        <v>4507.1682271957352</v>
      </c>
    </row>
    <row r="262" spans="1:14" ht="12.3" x14ac:dyDescent="0.4">
      <c r="A262" s="5" t="s">
        <v>17</v>
      </c>
      <c r="B262" s="6">
        <v>1453.11780166625</v>
      </c>
      <c r="C262" s="6">
        <v>1409.1581249236999</v>
      </c>
      <c r="D262" s="6">
        <v>1558.8162155151299</v>
      </c>
      <c r="E262" s="6">
        <v>1503.7530860900799</v>
      </c>
      <c r="F262" s="6">
        <v>1311.9280271530099</v>
      </c>
      <c r="G262" s="6">
        <v>1256.1297903060899</v>
      </c>
      <c r="H262" s="6">
        <v>1500.46508789062</v>
      </c>
      <c r="I262" s="6">
        <v>1397.3910598754801</v>
      </c>
      <c r="J262" s="6">
        <v>1294.31810760498</v>
      </c>
      <c r="K262" s="6">
        <v>1430.0451326370201</v>
      </c>
      <c r="L262" s="6">
        <v>1297.17359733581</v>
      </c>
      <c r="M262" s="6">
        <v>1277.36168479919</v>
      </c>
      <c r="N262" s="41">
        <f t="shared" si="8"/>
        <v>16689.657715797359</v>
      </c>
    </row>
    <row r="263" spans="1:14" ht="12.3" x14ac:dyDescent="0.4">
      <c r="A263" s="5" t="s">
        <v>18</v>
      </c>
      <c r="B263" s="6">
        <v>2599.2273397445601</v>
      </c>
      <c r="C263" s="6">
        <v>2694.6330127716001</v>
      </c>
      <c r="D263" s="6">
        <v>2945.8765230178801</v>
      </c>
      <c r="E263" s="6">
        <v>2835.6444435119602</v>
      </c>
      <c r="F263" s="6">
        <v>2209.02734565734</v>
      </c>
      <c r="G263" s="6">
        <v>2145.4387502670202</v>
      </c>
      <c r="H263" s="6">
        <v>2510.5302362441998</v>
      </c>
      <c r="I263" s="6">
        <v>2440.5143213271999</v>
      </c>
      <c r="J263" s="6">
        <v>2282.5474548339798</v>
      </c>
      <c r="K263" s="6">
        <v>2346.9111213684</v>
      </c>
      <c r="L263" s="6">
        <v>2164.4616041183399</v>
      </c>
      <c r="M263" s="6">
        <v>2085.86855602264</v>
      </c>
      <c r="N263" s="41">
        <f t="shared" si="8"/>
        <v>29260.680708885116</v>
      </c>
    </row>
    <row r="264" spans="1:14" ht="14.4" x14ac:dyDescent="0.55000000000000004">
      <c r="A264" s="5" t="s">
        <v>19</v>
      </c>
      <c r="B264" s="7">
        <v>2104.636</v>
      </c>
      <c r="C264" s="7">
        <v>2165.7260000000001</v>
      </c>
      <c r="D264" s="7">
        <v>2376.3029999999999</v>
      </c>
      <c r="E264" s="7">
        <v>2297.2959999999998</v>
      </c>
      <c r="F264" s="7">
        <v>1800.934</v>
      </c>
      <c r="G264" s="7">
        <v>1769.646</v>
      </c>
      <c r="H264" s="7">
        <v>2077.087</v>
      </c>
      <c r="I264" s="7">
        <v>1867.826</v>
      </c>
      <c r="J264" s="7">
        <v>2024.748</v>
      </c>
      <c r="K264" s="7">
        <v>1911.5239999999999</v>
      </c>
      <c r="L264" s="7">
        <v>1768.577</v>
      </c>
      <c r="M264" s="7">
        <v>1765.0809999999999</v>
      </c>
      <c r="N264" s="41">
        <f t="shared" si="8"/>
        <v>23929.383999999998</v>
      </c>
    </row>
    <row r="265" spans="1:14" ht="14.4" x14ac:dyDescent="0.55000000000000004">
      <c r="A265" s="8" t="s">
        <v>100</v>
      </c>
      <c r="B265" s="13">
        <v>3568.09</v>
      </c>
      <c r="C265" s="13">
        <v>0</v>
      </c>
      <c r="D265" s="13">
        <v>6675.46</v>
      </c>
      <c r="E265" s="13">
        <v>3939.13</v>
      </c>
      <c r="F265" s="13">
        <v>3091.82</v>
      </c>
      <c r="G265" s="13">
        <v>2936.41</v>
      </c>
      <c r="H265" s="13">
        <v>3504.03</v>
      </c>
      <c r="I265" s="13">
        <v>3407.88</v>
      </c>
      <c r="J265" s="13">
        <v>3105.77</v>
      </c>
      <c r="K265" s="13">
        <v>3177.92</v>
      </c>
      <c r="L265" s="13">
        <v>3030.72</v>
      </c>
      <c r="M265" s="13">
        <v>2923.52</v>
      </c>
      <c r="N265" s="41">
        <f t="shared" si="8"/>
        <v>39360.75</v>
      </c>
    </row>
    <row r="266" spans="1:14" ht="14.4" x14ac:dyDescent="0.55000000000000004">
      <c r="A266" s="10" t="s">
        <v>106</v>
      </c>
      <c r="B266" s="12">
        <v>1410.7629999999999</v>
      </c>
      <c r="C266" s="13">
        <v>1475.5119999999999</v>
      </c>
      <c r="D266" s="13">
        <v>1764.452</v>
      </c>
      <c r="E266" s="13">
        <v>1671.3309999999999</v>
      </c>
      <c r="F266" s="13">
        <v>1218.258</v>
      </c>
      <c r="G266" s="13">
        <v>1133.1310000000001</v>
      </c>
      <c r="H266" s="13">
        <v>1443.164</v>
      </c>
      <c r="I266" s="13">
        <v>1385.8679999999999</v>
      </c>
      <c r="J266" s="13">
        <v>1241.6289999999999</v>
      </c>
      <c r="K266" s="13">
        <v>1299.2329999999999</v>
      </c>
      <c r="L266" s="13">
        <v>1186.7639999999999</v>
      </c>
      <c r="M266" s="13">
        <v>1136.7929999999999</v>
      </c>
      <c r="N266" s="41">
        <f t="shared" si="8"/>
        <v>16366.897999999999</v>
      </c>
    </row>
    <row r="267" spans="1:14" ht="14.4" x14ac:dyDescent="0.55000000000000004">
      <c r="A267" s="10" t="s">
        <v>107</v>
      </c>
      <c r="B267" s="12">
        <v>5453.3490000000002</v>
      </c>
      <c r="C267" s="13">
        <v>5653.317</v>
      </c>
      <c r="D267" s="13">
        <v>6283.6409999999996</v>
      </c>
      <c r="E267" s="13">
        <v>6060.7569999999996</v>
      </c>
      <c r="F267" s="13">
        <v>4767.9769999999999</v>
      </c>
      <c r="G267" s="13">
        <v>4537.9290000000001</v>
      </c>
      <c r="H267" s="13">
        <v>5385.7569999999996</v>
      </c>
      <c r="I267" s="13">
        <v>5246.1030000000001</v>
      </c>
      <c r="J267" s="13">
        <v>4771.8580000000002</v>
      </c>
      <c r="K267" s="13">
        <v>4859.5640000000003</v>
      </c>
      <c r="L267" s="13">
        <v>4675.2849999999999</v>
      </c>
      <c r="M267" s="13">
        <v>4507.643</v>
      </c>
      <c r="N267" s="41">
        <f t="shared" si="8"/>
        <v>62203.179999999993</v>
      </c>
    </row>
    <row r="268" spans="1:14" ht="14.4" x14ac:dyDescent="0.55000000000000004">
      <c r="A268" s="10" t="s">
        <v>108</v>
      </c>
      <c r="B268" s="12">
        <v>2752.134</v>
      </c>
      <c r="C268" s="13">
        <v>2832.0970000000002</v>
      </c>
      <c r="D268" s="13">
        <v>3098.2289999999998</v>
      </c>
      <c r="E268" s="13">
        <v>2997.0279999999998</v>
      </c>
      <c r="F268" s="13">
        <v>2440.9870000000001</v>
      </c>
      <c r="G268" s="13">
        <v>2340.2689999999998</v>
      </c>
      <c r="H268" s="13">
        <v>2709.915</v>
      </c>
      <c r="I268" s="13">
        <v>2646.8029999999999</v>
      </c>
      <c r="J268" s="13">
        <v>2450.7570000000001</v>
      </c>
      <c r="K268" s="13">
        <v>2498.183</v>
      </c>
      <c r="L268" s="13">
        <v>2401.4259999999999</v>
      </c>
      <c r="M268" s="13">
        <v>2332.404</v>
      </c>
      <c r="N268" s="41">
        <f t="shared" si="8"/>
        <v>31500.232</v>
      </c>
    </row>
    <row r="269" spans="1:14" ht="14.4" x14ac:dyDescent="0.55000000000000004">
      <c r="A269" s="10" t="s">
        <v>109</v>
      </c>
      <c r="B269" s="12">
        <v>4235.2510000000002</v>
      </c>
      <c r="C269" s="13">
        <v>4370.6729999999998</v>
      </c>
      <c r="D269" s="13">
        <v>4778.9380000000001</v>
      </c>
      <c r="E269" s="13">
        <v>4623.3280000000004</v>
      </c>
      <c r="F269" s="13">
        <v>3725.8209999999999</v>
      </c>
      <c r="G269" s="13">
        <v>3567.9079999999999</v>
      </c>
      <c r="H269" s="13">
        <v>4152.3280000000004</v>
      </c>
      <c r="I269" s="13">
        <v>4055.8719999999998</v>
      </c>
      <c r="J269" s="13">
        <v>3727.87</v>
      </c>
      <c r="K269" s="13">
        <v>3787.2379999999998</v>
      </c>
      <c r="L269" s="13">
        <v>3662.0540000000001</v>
      </c>
      <c r="M269" s="13">
        <v>3546.701</v>
      </c>
      <c r="N269" s="41">
        <f t="shared" si="8"/>
        <v>48233.982000000004</v>
      </c>
    </row>
    <row r="270" spans="1:14" ht="14.4" x14ac:dyDescent="0.55000000000000004">
      <c r="A270" s="10" t="s">
        <v>110</v>
      </c>
      <c r="B270" s="12">
        <v>2816.819</v>
      </c>
      <c r="C270" s="13">
        <v>2899.2</v>
      </c>
      <c r="D270" s="13">
        <v>3171.5279999999998</v>
      </c>
      <c r="E270" s="13">
        <v>3067.9450000000002</v>
      </c>
      <c r="F270" s="13">
        <v>2497.0210000000002</v>
      </c>
      <c r="G270" s="13">
        <v>2393.808</v>
      </c>
      <c r="H270" s="13">
        <v>2772.8240000000001</v>
      </c>
      <c r="I270" s="13">
        <v>2708.248</v>
      </c>
      <c r="J270" s="13">
        <v>2506.4450000000002</v>
      </c>
      <c r="K270" s="13">
        <v>2554.3989999999999</v>
      </c>
      <c r="L270" s="13">
        <v>2456.4110000000001</v>
      </c>
      <c r="M270" s="13">
        <v>2385.3629999999998</v>
      </c>
      <c r="N270" s="41">
        <f t="shared" si="8"/>
        <v>32230.011000000002</v>
      </c>
    </row>
    <row r="271" spans="1:14" ht="14.4" x14ac:dyDescent="0.55000000000000004">
      <c r="A271" s="10" t="s">
        <v>111</v>
      </c>
      <c r="B271" s="12">
        <v>6105.277</v>
      </c>
      <c r="C271" s="13">
        <v>6310.616</v>
      </c>
      <c r="D271" s="13">
        <v>6952.6909999999998</v>
      </c>
      <c r="E271" s="13">
        <v>6724.473</v>
      </c>
      <c r="F271" s="13">
        <v>5345.835</v>
      </c>
      <c r="G271" s="13">
        <v>5115.79</v>
      </c>
      <c r="H271" s="13">
        <v>5971.0349999999999</v>
      </c>
      <c r="I271" s="13">
        <v>5888.5810000000001</v>
      </c>
      <c r="J271" s="13">
        <v>5401.4359999999997</v>
      </c>
      <c r="K271" s="13">
        <v>5490.2960000000003</v>
      </c>
      <c r="L271" s="13">
        <v>5251.52</v>
      </c>
      <c r="M271" s="13">
        <v>5077.7650000000003</v>
      </c>
      <c r="N271" s="41">
        <f t="shared" si="8"/>
        <v>69635.315000000002</v>
      </c>
    </row>
    <row r="272" spans="1:14" ht="14.4" x14ac:dyDescent="0.55000000000000004">
      <c r="A272" s="14" t="s">
        <v>112</v>
      </c>
      <c r="B272" s="12">
        <v>5976.308</v>
      </c>
      <c r="C272" s="13">
        <v>6176.8630000000003</v>
      </c>
      <c r="D272" s="13">
        <v>6752.02</v>
      </c>
      <c r="E272" s="13">
        <v>6532.5709999999999</v>
      </c>
      <c r="F272" s="13">
        <v>5234.1790000000001</v>
      </c>
      <c r="G272" s="13">
        <v>5009.1099999999997</v>
      </c>
      <c r="H272" s="13">
        <v>5845.6750000000002</v>
      </c>
      <c r="I272" s="13">
        <v>5710.0820000000003</v>
      </c>
      <c r="J272" s="13">
        <v>5227.08</v>
      </c>
      <c r="K272" s="13">
        <v>5300.5439999999999</v>
      </c>
      <c r="L272" s="13">
        <v>5141.99</v>
      </c>
      <c r="M272" s="13">
        <v>4972.2560000000003</v>
      </c>
      <c r="N272" s="41">
        <f t="shared" si="8"/>
        <v>67878.678</v>
      </c>
    </row>
    <row r="273" spans="1:23" ht="14.4" x14ac:dyDescent="0.55000000000000004">
      <c r="A273" s="15" t="s">
        <v>113</v>
      </c>
      <c r="B273" s="12">
        <v>11634.79</v>
      </c>
      <c r="C273" s="13">
        <v>12057.42</v>
      </c>
      <c r="D273" s="13">
        <v>13259.97</v>
      </c>
      <c r="E273" s="13">
        <v>12766.09</v>
      </c>
      <c r="F273" s="13">
        <v>10104.530000000001</v>
      </c>
      <c r="G273" s="13">
        <v>9653.9089999999997</v>
      </c>
      <c r="H273" s="13">
        <v>11341.49</v>
      </c>
      <c r="I273" s="13">
        <v>11073.05</v>
      </c>
      <c r="J273" s="13">
        <v>10066.91</v>
      </c>
      <c r="K273" s="13">
        <v>10187.61</v>
      </c>
      <c r="L273" s="13">
        <v>9916.7510000000002</v>
      </c>
      <c r="M273" s="13">
        <v>9564.5949999999993</v>
      </c>
      <c r="N273" s="41">
        <f t="shared" si="8"/>
        <v>131627.11500000002</v>
      </c>
    </row>
    <row r="274" spans="1:23" ht="14.4" x14ac:dyDescent="0.55000000000000004">
      <c r="A274" s="16" t="s">
        <v>114</v>
      </c>
      <c r="B274" s="12">
        <v>11086.69</v>
      </c>
      <c r="C274" s="13">
        <v>11488.84</v>
      </c>
      <c r="D274" s="13">
        <v>12584.34</v>
      </c>
      <c r="E274" s="13">
        <v>12165.14</v>
      </c>
      <c r="F274" s="13">
        <v>9629.7649999999994</v>
      </c>
      <c r="G274" s="13">
        <v>9200.2999999999993</v>
      </c>
      <c r="H274" s="13">
        <v>10808.5</v>
      </c>
      <c r="I274" s="13">
        <v>10552.38</v>
      </c>
      <c r="J274" s="13">
        <v>9595.0159999999996</v>
      </c>
      <c r="K274" s="13">
        <v>9711.2180000000008</v>
      </c>
      <c r="L274" s="13">
        <v>9450.9549999999999</v>
      </c>
      <c r="M274" s="13">
        <v>9115.8979999999992</v>
      </c>
      <c r="N274" s="41">
        <f t="shared" si="8"/>
        <v>125389.04200000002</v>
      </c>
    </row>
    <row r="275" spans="1:23" ht="14.4" x14ac:dyDescent="0.55000000000000004">
      <c r="A275" s="8" t="s">
        <v>115</v>
      </c>
      <c r="B275" s="12">
        <v>7685.7460000000001</v>
      </c>
      <c r="C275" s="13">
        <v>7960.74</v>
      </c>
      <c r="D275" s="13">
        <v>8784.83</v>
      </c>
      <c r="E275" s="13">
        <v>8435.7929999999997</v>
      </c>
      <c r="F275" s="13">
        <v>6683.4520000000002</v>
      </c>
      <c r="G275" s="13">
        <v>6385.1540000000005</v>
      </c>
      <c r="H275" s="13">
        <v>7500.8379999999997</v>
      </c>
      <c r="I275" s="13">
        <v>7321.1779999999999</v>
      </c>
      <c r="J275" s="13">
        <v>6666.4070000000002</v>
      </c>
      <c r="K275" s="13">
        <v>6755.3360000000002</v>
      </c>
      <c r="L275" s="13">
        <v>6560.1559999999999</v>
      </c>
      <c r="M275" s="13">
        <v>6331.357</v>
      </c>
      <c r="N275" s="41">
        <f t="shared" si="8"/>
        <v>87070.987000000008</v>
      </c>
    </row>
    <row r="276" spans="1:23" ht="14.4" x14ac:dyDescent="0.55000000000000004">
      <c r="A276" s="10" t="s">
        <v>20</v>
      </c>
      <c r="B276" s="12">
        <v>11569.27</v>
      </c>
      <c r="C276" s="13">
        <v>11989.6</v>
      </c>
      <c r="D276" s="13">
        <v>13131.43</v>
      </c>
      <c r="E276" s="13">
        <v>12693.91</v>
      </c>
      <c r="F276" s="13">
        <v>10047.98</v>
      </c>
      <c r="G276" s="13">
        <v>9600.25</v>
      </c>
      <c r="H276" s="13">
        <v>11277.72</v>
      </c>
      <c r="I276" s="13">
        <v>11011.42</v>
      </c>
      <c r="J276" s="13">
        <v>10011.01</v>
      </c>
      <c r="K276" s="13">
        <v>10131.06</v>
      </c>
      <c r="L276" s="13">
        <v>9861.4259999999995</v>
      </c>
      <c r="M276" s="13">
        <v>9511.8690000000006</v>
      </c>
      <c r="N276" s="41">
        <f t="shared" si="8"/>
        <v>130836.94500000001</v>
      </c>
    </row>
    <row r="277" spans="1:23" ht="14.4" x14ac:dyDescent="0.55000000000000004">
      <c r="A277" s="8" t="s">
        <v>21</v>
      </c>
      <c r="B277" s="12">
        <v>4510.5860000000002</v>
      </c>
      <c r="C277" s="13">
        <v>4685.8140000000003</v>
      </c>
      <c r="D277" s="13">
        <v>5201.5829999999996</v>
      </c>
      <c r="E277" s="13">
        <v>5005.2219999999998</v>
      </c>
      <c r="F277" s="13">
        <v>3861.6010000000001</v>
      </c>
      <c r="G277" s="13">
        <v>3662.0309999999999</v>
      </c>
      <c r="H277" s="13">
        <v>4397.2709999999997</v>
      </c>
      <c r="I277" s="13">
        <v>4274.66</v>
      </c>
      <c r="J277" s="13">
        <v>3852.4870000000001</v>
      </c>
      <c r="K277" s="13">
        <v>3921.0279999999998</v>
      </c>
      <c r="L277" s="13">
        <v>3782.9670000000001</v>
      </c>
      <c r="M277" s="13">
        <v>3627.203</v>
      </c>
      <c r="N277" s="41">
        <f t="shared" si="8"/>
        <v>50782.452999999994</v>
      </c>
    </row>
    <row r="278" spans="1:23" ht="14.4" x14ac:dyDescent="0.55000000000000004">
      <c r="A278" s="8" t="s">
        <v>22</v>
      </c>
      <c r="B278" s="12">
        <v>4510.3180000000002</v>
      </c>
      <c r="C278" s="13">
        <v>4685.5950000000003</v>
      </c>
      <c r="D278" s="13">
        <v>5201.2460000000001</v>
      </c>
      <c r="E278" s="13">
        <v>5004.7219999999998</v>
      </c>
      <c r="F278" s="13">
        <v>3861.3249999999998</v>
      </c>
      <c r="G278" s="13">
        <v>3661.8780000000002</v>
      </c>
      <c r="H278" s="13">
        <v>4396.884</v>
      </c>
      <c r="I278" s="13">
        <v>4274.4859999999999</v>
      </c>
      <c r="J278" s="13">
        <v>3852.3009999999999</v>
      </c>
      <c r="K278" s="13">
        <v>3920.8290000000002</v>
      </c>
      <c r="L278" s="13">
        <v>3782.7060000000001</v>
      </c>
      <c r="M278" s="13">
        <v>3627.1370000000002</v>
      </c>
      <c r="N278" s="41">
        <f t="shared" si="8"/>
        <v>50779.426999999996</v>
      </c>
    </row>
    <row r="279" spans="1:23" ht="14.4" x14ac:dyDescent="0.55000000000000004">
      <c r="A279" s="25" t="s">
        <v>99</v>
      </c>
      <c r="B279" s="11">
        <f>MAX(B265,B275,B277,B278)</f>
        <v>7685.7460000000001</v>
      </c>
      <c r="C279" s="11">
        <f t="shared" ref="C279:M279" si="9">MAX(C265,C275,C277,C278)</f>
        <v>7960.74</v>
      </c>
      <c r="D279" s="11">
        <f t="shared" si="9"/>
        <v>8784.83</v>
      </c>
      <c r="E279" s="11">
        <f t="shared" si="9"/>
        <v>8435.7929999999997</v>
      </c>
      <c r="F279" s="11">
        <f t="shared" si="9"/>
        <v>6683.4520000000002</v>
      </c>
      <c r="G279" s="11">
        <f t="shared" si="9"/>
        <v>6385.1540000000005</v>
      </c>
      <c r="H279" s="11">
        <f t="shared" si="9"/>
        <v>7500.8379999999997</v>
      </c>
      <c r="I279" s="11">
        <f t="shared" si="9"/>
        <v>7321.1779999999999</v>
      </c>
      <c r="J279" s="11">
        <f t="shared" si="9"/>
        <v>6666.4070000000002</v>
      </c>
      <c r="K279" s="11">
        <f t="shared" si="9"/>
        <v>6755.3360000000002</v>
      </c>
      <c r="L279" s="11">
        <f t="shared" si="9"/>
        <v>6560.1559999999999</v>
      </c>
      <c r="M279" s="11">
        <f t="shared" si="9"/>
        <v>6331.357</v>
      </c>
      <c r="N279" s="44"/>
    </row>
    <row r="280" spans="1:23" ht="14.4" x14ac:dyDescent="0.55000000000000004">
      <c r="A280" s="25"/>
      <c r="B280" s="30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</row>
    <row r="281" spans="1:23" ht="14.4" x14ac:dyDescent="0.55000000000000004">
      <c r="A281" s="25"/>
      <c r="B281" s="30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</row>
    <row r="282" spans="1:23" ht="14.4" x14ac:dyDescent="0.55000000000000004">
      <c r="A282" s="25"/>
      <c r="B282" s="30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</row>
    <row r="283" spans="1:23" ht="14.4" x14ac:dyDescent="0.55000000000000004">
      <c r="A283" s="25"/>
      <c r="B283" s="30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</row>
    <row r="284" spans="1:23" ht="14.4" x14ac:dyDescent="0.55000000000000004">
      <c r="A284" s="25"/>
      <c r="B284" s="30"/>
      <c r="C284" s="13"/>
      <c r="D284" s="13"/>
      <c r="E284" s="13"/>
      <c r="F284" s="13"/>
      <c r="G284" s="13"/>
      <c r="H284" s="13"/>
      <c r="I284" s="13">
        <f>MIN(B290:M311)</f>
        <v>-0.2321</v>
      </c>
      <c r="J284" s="13"/>
      <c r="K284" s="13">
        <v>0.23</v>
      </c>
      <c r="L284" s="13"/>
      <c r="M284" s="13"/>
    </row>
    <row r="285" spans="1:23" ht="14.4" x14ac:dyDescent="0.55000000000000004">
      <c r="A285" s="25"/>
      <c r="B285" s="30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</row>
    <row r="286" spans="1:23" ht="14.4" x14ac:dyDescent="0.55000000000000004">
      <c r="A286" s="25"/>
      <c r="B286" s="30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</row>
    <row r="287" spans="1:23" ht="30.3" x14ac:dyDescent="1">
      <c r="A287" s="31" t="s">
        <v>68</v>
      </c>
      <c r="B287" s="3"/>
      <c r="C287" s="6"/>
      <c r="D287" s="6"/>
      <c r="E287" s="6"/>
      <c r="F287" s="6"/>
      <c r="G287" s="6"/>
      <c r="H287" s="6"/>
      <c r="I287" s="7"/>
      <c r="O287" s="31" t="s">
        <v>68</v>
      </c>
      <c r="P287" s="3"/>
      <c r="Q287" s="6"/>
      <c r="R287" s="6"/>
      <c r="S287" s="6"/>
      <c r="T287" s="6"/>
      <c r="U287" s="6"/>
      <c r="V287" s="6"/>
      <c r="W287" s="7"/>
    </row>
    <row r="288" spans="1:23" ht="15.3" x14ac:dyDescent="0.55000000000000004">
      <c r="A288" s="24"/>
      <c r="B288" s="3"/>
      <c r="C288" s="6"/>
      <c r="D288" s="6"/>
      <c r="E288" s="6"/>
      <c r="F288" s="6"/>
      <c r="G288" s="6"/>
      <c r="H288" s="6"/>
      <c r="I288" s="7"/>
      <c r="O288" s="24"/>
      <c r="P288" s="3"/>
      <c r="Q288" s="6"/>
      <c r="R288" s="6"/>
      <c r="S288" s="6"/>
      <c r="T288" s="6"/>
      <c r="U288" s="6"/>
      <c r="V288" s="6"/>
      <c r="W288" s="7"/>
    </row>
    <row r="289" spans="1:28" ht="15" x14ac:dyDescent="0.5">
      <c r="A289" s="28" t="s">
        <v>1</v>
      </c>
      <c r="B289" s="3" t="s">
        <v>2</v>
      </c>
      <c r="C289" s="3" t="s">
        <v>3</v>
      </c>
      <c r="D289" s="3" t="s">
        <v>4</v>
      </c>
      <c r="E289" s="3" t="s">
        <v>5</v>
      </c>
      <c r="F289" s="3" t="s">
        <v>6</v>
      </c>
      <c r="G289" s="3" t="s">
        <v>7</v>
      </c>
      <c r="H289" s="3" t="s">
        <v>8</v>
      </c>
      <c r="I289" s="3" t="s">
        <v>9</v>
      </c>
      <c r="J289" s="3" t="s">
        <v>10</v>
      </c>
      <c r="K289" s="3" t="s">
        <v>11</v>
      </c>
      <c r="L289" s="3" t="s">
        <v>12</v>
      </c>
      <c r="M289" s="4">
        <v>151676</v>
      </c>
      <c r="O289" s="28" t="s">
        <v>1</v>
      </c>
      <c r="P289" s="3" t="s">
        <v>2</v>
      </c>
      <c r="Q289" s="3" t="s">
        <v>3</v>
      </c>
      <c r="R289" s="3" t="s">
        <v>4</v>
      </c>
      <c r="S289" s="3" t="s">
        <v>5</v>
      </c>
      <c r="T289" s="3" t="s">
        <v>6</v>
      </c>
      <c r="U289" s="3" t="s">
        <v>7</v>
      </c>
      <c r="V289" s="3" t="s">
        <v>8</v>
      </c>
      <c r="W289" s="3" t="s">
        <v>9</v>
      </c>
      <c r="X289" s="3" t="s">
        <v>10</v>
      </c>
      <c r="Y289" s="3" t="s">
        <v>11</v>
      </c>
      <c r="Z289" s="3" t="s">
        <v>12</v>
      </c>
      <c r="AA289" s="4">
        <v>151676</v>
      </c>
    </row>
    <row r="290" spans="1:28" ht="14.4" x14ac:dyDescent="0.55000000000000004">
      <c r="A290" s="5" t="s">
        <v>13</v>
      </c>
      <c r="B290" s="6">
        <v>0.21903453369850301</v>
      </c>
      <c r="C290" s="6">
        <v>0.254663361721783</v>
      </c>
      <c r="D290" s="6">
        <v>0.32580733944165702</v>
      </c>
      <c r="E290" s="6">
        <v>0.22054183043766901</v>
      </c>
      <c r="F290" s="6">
        <v>0.29188082441839203</v>
      </c>
      <c r="G290" s="6">
        <v>0.24784949737131801</v>
      </c>
      <c r="H290" s="6">
        <v>0.34967530343297598</v>
      </c>
      <c r="I290" s="6">
        <v>0.27758807070290498</v>
      </c>
      <c r="J290" s="6">
        <v>0.394376526581102</v>
      </c>
      <c r="K290" s="6">
        <v>0.41086704416643099</v>
      </c>
      <c r="L290" s="6">
        <v>0.40439688841791599</v>
      </c>
      <c r="M290" s="6">
        <v>0.478403313806674</v>
      </c>
      <c r="N290" s="41">
        <f>SUM(B290:M290)</f>
        <v>3.8750845341973261</v>
      </c>
      <c r="O290" s="5" t="s">
        <v>13</v>
      </c>
      <c r="P290" s="13">
        <v>0.44903453369850299</v>
      </c>
      <c r="Q290" s="13">
        <v>0.48466336172178304</v>
      </c>
      <c r="R290" s="13">
        <v>0.55580733944165706</v>
      </c>
      <c r="S290" s="13">
        <v>0.45054183043766904</v>
      </c>
      <c r="T290" s="13">
        <v>0.52188082441839201</v>
      </c>
      <c r="U290" s="13">
        <v>0.47784949737131799</v>
      </c>
      <c r="V290" s="13">
        <v>0.57967530343297602</v>
      </c>
      <c r="W290" s="13">
        <v>0.50758807070290501</v>
      </c>
      <c r="X290" s="13">
        <v>0.62437652658110199</v>
      </c>
      <c r="Y290" s="13">
        <v>0.64086704416643103</v>
      </c>
      <c r="Z290" s="13">
        <v>0.63439688841791597</v>
      </c>
      <c r="AA290" s="13">
        <v>0.70840331380667398</v>
      </c>
      <c r="AB290" s="41">
        <f>SUM(P290:AA290)</f>
        <v>6.6350845341973255</v>
      </c>
    </row>
    <row r="291" spans="1:28" ht="14.4" x14ac:dyDescent="0.55000000000000004">
      <c r="A291" s="5" t="s">
        <v>14</v>
      </c>
      <c r="B291" s="6">
        <v>0.43097558855134399</v>
      </c>
      <c r="C291" s="6">
        <v>0.48518080095659299</v>
      </c>
      <c r="D291" s="6">
        <v>0.39687532097676997</v>
      </c>
      <c r="E291" s="6">
        <v>0.38697889150978798</v>
      </c>
      <c r="F291" s="6">
        <v>0.35322494189699</v>
      </c>
      <c r="G291" s="6">
        <v>0.30024781606637502</v>
      </c>
      <c r="H291" s="6">
        <v>0.42822107332347298</v>
      </c>
      <c r="I291" s="6">
        <v>0.39110326174883397</v>
      </c>
      <c r="J291" s="6">
        <v>0.444498205679564</v>
      </c>
      <c r="K291" s="6">
        <v>0.60725682052604602</v>
      </c>
      <c r="L291" s="6">
        <v>0.48496987539263298</v>
      </c>
      <c r="M291" s="6">
        <v>0.545184283906061</v>
      </c>
      <c r="N291" s="41">
        <f t="shared" ref="N291:N310" si="10">SUM(B291:M291)</f>
        <v>5.2547168805344704</v>
      </c>
      <c r="O291" s="5" t="s">
        <v>14</v>
      </c>
      <c r="P291" s="13">
        <v>0.66097558855134397</v>
      </c>
      <c r="Q291" s="13">
        <v>0.71518080095659298</v>
      </c>
      <c r="R291" s="13">
        <v>0.62687532097677001</v>
      </c>
      <c r="S291" s="13">
        <v>0.61697889150978802</v>
      </c>
      <c r="T291" s="13">
        <v>0.58322494189699003</v>
      </c>
      <c r="U291" s="13">
        <v>0.53024781606637506</v>
      </c>
      <c r="V291" s="13">
        <v>0.65822107332347302</v>
      </c>
      <c r="W291" s="13">
        <v>0.62110326174883401</v>
      </c>
      <c r="X291" s="13">
        <v>0.67449820567956398</v>
      </c>
      <c r="Y291" s="13">
        <v>0.837256820526046</v>
      </c>
      <c r="Z291" s="13">
        <v>0.71496987539263301</v>
      </c>
      <c r="AA291" s="13">
        <v>0.77518428390606098</v>
      </c>
      <c r="AB291" s="41">
        <f t="shared" ref="AB291:AB310" si="11">SUM(P291:AA291)</f>
        <v>8.014716880534472</v>
      </c>
    </row>
    <row r="292" spans="1:28" ht="14.4" x14ac:dyDescent="0.55000000000000004">
      <c r="A292" s="5" t="s">
        <v>15</v>
      </c>
      <c r="B292" s="6">
        <v>0.35624909408549998</v>
      </c>
      <c r="C292" s="6">
        <v>0.37900193259159998</v>
      </c>
      <c r="D292" s="6">
        <v>0.36006020886910001</v>
      </c>
      <c r="E292" s="6">
        <v>0.29701574088470001</v>
      </c>
      <c r="F292" s="6">
        <v>0.26195259355529998</v>
      </c>
      <c r="G292" s="6">
        <v>0.26679994083410002</v>
      </c>
      <c r="H292" s="6">
        <v>0.35427147961939998</v>
      </c>
      <c r="I292" s="6">
        <v>0.3073505756919</v>
      </c>
      <c r="J292" s="6">
        <v>0.4680983731458</v>
      </c>
      <c r="K292" s="6">
        <v>0.49557060150589999</v>
      </c>
      <c r="L292" s="6">
        <v>0.45562503897849999</v>
      </c>
      <c r="M292" s="6">
        <v>0.36065969164240003</v>
      </c>
      <c r="N292" s="41">
        <f t="shared" si="10"/>
        <v>4.3626552714042006</v>
      </c>
      <c r="O292" s="5" t="s">
        <v>15</v>
      </c>
      <c r="P292" s="13">
        <v>0.58624909408549997</v>
      </c>
      <c r="Q292" s="13">
        <v>0.60900193259159996</v>
      </c>
      <c r="R292" s="13">
        <v>0.59006020886910004</v>
      </c>
      <c r="S292" s="13">
        <v>0.52701574088470005</v>
      </c>
      <c r="T292" s="13">
        <v>0.49195259355529997</v>
      </c>
      <c r="U292" s="13">
        <v>0.49679994083410006</v>
      </c>
      <c r="V292" s="13">
        <v>0.58427147961939996</v>
      </c>
      <c r="W292" s="13">
        <v>0.53735057569190003</v>
      </c>
      <c r="X292" s="13">
        <v>0.69809837314580003</v>
      </c>
      <c r="Y292" s="13">
        <v>0.72557060150590003</v>
      </c>
      <c r="Z292" s="13">
        <v>0.68562503897850002</v>
      </c>
      <c r="AA292" s="13">
        <v>0.59065969164240006</v>
      </c>
      <c r="AB292" s="41">
        <f t="shared" si="11"/>
        <v>7.1226552714042013</v>
      </c>
    </row>
    <row r="293" spans="1:28" ht="14.4" x14ac:dyDescent="0.55000000000000004">
      <c r="A293" s="5" t="s">
        <v>16</v>
      </c>
      <c r="B293" s="6">
        <v>0.27685950687491501</v>
      </c>
      <c r="C293" s="6">
        <v>0.31251698783685899</v>
      </c>
      <c r="D293" s="6">
        <v>0.30631119747340702</v>
      </c>
      <c r="E293" s="6">
        <v>0.25826943800700702</v>
      </c>
      <c r="F293" s="6">
        <v>0.28914952044161801</v>
      </c>
      <c r="G293" s="6">
        <v>0.23575612114340599</v>
      </c>
      <c r="H293" s="6">
        <v>0.349573807213437</v>
      </c>
      <c r="I293" s="6">
        <v>0.254486110222718</v>
      </c>
      <c r="J293" s="6">
        <v>0.378938398782172</v>
      </c>
      <c r="K293" s="6">
        <v>0.44267499804420901</v>
      </c>
      <c r="L293" s="6">
        <v>0.35412660287757303</v>
      </c>
      <c r="M293" s="6">
        <v>0.36074424204241801</v>
      </c>
      <c r="N293" s="41">
        <f t="shared" si="10"/>
        <v>3.8194069309597394</v>
      </c>
      <c r="O293" s="5" t="s">
        <v>16</v>
      </c>
      <c r="P293" s="13">
        <v>0.50685950687491499</v>
      </c>
      <c r="Q293" s="13">
        <v>0.54251698783685898</v>
      </c>
      <c r="R293" s="13">
        <v>0.53631119747340705</v>
      </c>
      <c r="S293" s="13">
        <v>0.48826943800700706</v>
      </c>
      <c r="T293" s="13">
        <v>0.519149520441618</v>
      </c>
      <c r="U293" s="13">
        <v>0.46575612114340603</v>
      </c>
      <c r="V293" s="13">
        <v>0.57957380721343699</v>
      </c>
      <c r="W293" s="13">
        <v>0.48448611022271804</v>
      </c>
      <c r="X293" s="13">
        <v>0.60893839878217204</v>
      </c>
      <c r="Y293" s="13">
        <v>0.67267499804420905</v>
      </c>
      <c r="Z293" s="13">
        <v>0.58412660287757301</v>
      </c>
      <c r="AA293" s="13">
        <v>0.59074424204241804</v>
      </c>
      <c r="AB293" s="41">
        <f t="shared" si="11"/>
        <v>6.5794069309597383</v>
      </c>
    </row>
    <row r="294" spans="1:28" ht="14.4" x14ac:dyDescent="0.55000000000000004">
      <c r="A294" s="5" t="s">
        <v>17</v>
      </c>
      <c r="B294" s="7">
        <v>0.324152</v>
      </c>
      <c r="C294" s="7">
        <v>0.33630199999999999</v>
      </c>
      <c r="D294" s="7">
        <v>0.26786700000000002</v>
      </c>
      <c r="E294" s="7">
        <v>0.28575099999999998</v>
      </c>
      <c r="F294" s="7">
        <v>0.19120400000000001</v>
      </c>
      <c r="G294" s="7">
        <v>0.234263</v>
      </c>
      <c r="H294" s="7">
        <v>0.28457700000000002</v>
      </c>
      <c r="I294" s="7">
        <v>0.27301500000000001</v>
      </c>
      <c r="J294" s="7">
        <v>0.39437699999999998</v>
      </c>
      <c r="K294" s="7">
        <v>0.43051600000000001</v>
      </c>
      <c r="L294" s="7">
        <v>0.40439700000000001</v>
      </c>
      <c r="M294" s="7">
        <v>0.42693700000000001</v>
      </c>
      <c r="N294" s="41">
        <f t="shared" si="10"/>
        <v>3.8533579999999996</v>
      </c>
      <c r="O294" s="5" t="s">
        <v>17</v>
      </c>
      <c r="P294" s="13">
        <v>0.55415199999999998</v>
      </c>
      <c r="Q294" s="13">
        <v>0.56630199999999997</v>
      </c>
      <c r="R294" s="13">
        <v>0.49786700000000006</v>
      </c>
      <c r="S294" s="13">
        <v>0.51575099999999996</v>
      </c>
      <c r="T294" s="13">
        <v>0.42120400000000002</v>
      </c>
      <c r="U294" s="13">
        <v>0.46426299999999998</v>
      </c>
      <c r="V294" s="13">
        <v>0.51457700000000006</v>
      </c>
      <c r="W294" s="13">
        <v>0.50301499999999999</v>
      </c>
      <c r="X294" s="13">
        <v>0.62437699999999996</v>
      </c>
      <c r="Y294" s="13">
        <v>0.66051599999999999</v>
      </c>
      <c r="Z294" s="13">
        <v>0.63439699999999999</v>
      </c>
      <c r="AA294" s="13">
        <v>0.65693699999999999</v>
      </c>
      <c r="AB294" s="41">
        <f t="shared" si="11"/>
        <v>6.6133580000000007</v>
      </c>
    </row>
    <row r="295" spans="1:28" ht="14.4" x14ac:dyDescent="0.55000000000000004">
      <c r="A295" s="5" t="s">
        <v>18</v>
      </c>
      <c r="B295" s="6">
        <v>0.20565687203494101</v>
      </c>
      <c r="C295" s="6">
        <v>0.18591451525982999</v>
      </c>
      <c r="D295" s="6">
        <v>0.167687070897581</v>
      </c>
      <c r="E295" s="6">
        <v>0.15952896246203699</v>
      </c>
      <c r="F295" s="6">
        <v>0.16208784146357599</v>
      </c>
      <c r="G295" s="6">
        <v>0.17173142846932299</v>
      </c>
      <c r="H295" s="6">
        <v>0.19665398477014501</v>
      </c>
      <c r="I295" s="6">
        <v>0.17057308801186899</v>
      </c>
      <c r="J295" s="6">
        <v>0.26008897277683701</v>
      </c>
      <c r="K295" s="6">
        <v>0.34901514365820202</v>
      </c>
      <c r="L295" s="6">
        <v>0.31217352967326201</v>
      </c>
      <c r="M295" s="6">
        <v>0.26165701379025202</v>
      </c>
      <c r="N295" s="41">
        <f t="shared" si="10"/>
        <v>2.6027684232678552</v>
      </c>
      <c r="O295" s="5" t="s">
        <v>18</v>
      </c>
      <c r="P295" s="13">
        <v>0.43565687203494102</v>
      </c>
      <c r="Q295" s="13">
        <v>0.41591451525983003</v>
      </c>
      <c r="R295" s="13">
        <v>0.39768707089758104</v>
      </c>
      <c r="S295" s="13">
        <v>0.389528962462037</v>
      </c>
      <c r="T295" s="13">
        <v>0.392087841463576</v>
      </c>
      <c r="U295" s="13">
        <v>0.40173142846932297</v>
      </c>
      <c r="V295" s="13">
        <v>0.42665398477014504</v>
      </c>
      <c r="W295" s="13">
        <v>0.40057308801186897</v>
      </c>
      <c r="X295" s="13">
        <v>0.49008897277683705</v>
      </c>
      <c r="Y295" s="13">
        <v>0.57901514365820206</v>
      </c>
      <c r="Z295" s="13">
        <v>0.54217352967326204</v>
      </c>
      <c r="AA295" s="13">
        <v>0.49165701379025206</v>
      </c>
      <c r="AB295" s="41">
        <f t="shared" si="11"/>
        <v>5.3627684232678554</v>
      </c>
    </row>
    <row r="296" spans="1:28" ht="14.4" x14ac:dyDescent="0.55000000000000004">
      <c r="A296" s="5" t="s">
        <v>19</v>
      </c>
      <c r="B296" s="7">
        <v>0.20169899999999999</v>
      </c>
      <c r="C296" s="7">
        <v>0.185915</v>
      </c>
      <c r="D296" s="7">
        <v>0.17110400000000001</v>
      </c>
      <c r="E296" s="7">
        <v>0.18859400000000001</v>
      </c>
      <c r="F296" s="7">
        <v>0.16208800000000001</v>
      </c>
      <c r="G296" s="7">
        <v>0.17919599999999999</v>
      </c>
      <c r="H296" s="7">
        <v>0.18839800000000001</v>
      </c>
      <c r="I296" s="7">
        <v>0.28745999999999999</v>
      </c>
      <c r="J296" s="7">
        <v>0.18488299999999999</v>
      </c>
      <c r="K296" s="7">
        <v>0.33312199999999997</v>
      </c>
      <c r="L296" s="7">
        <v>0.34332299999999999</v>
      </c>
      <c r="M296" s="7">
        <v>0.30554599999999998</v>
      </c>
      <c r="N296" s="41">
        <f t="shared" si="10"/>
        <v>2.731328</v>
      </c>
      <c r="O296" s="5" t="s">
        <v>19</v>
      </c>
      <c r="P296" s="13">
        <v>0.431699</v>
      </c>
      <c r="Q296" s="13">
        <v>0.41591500000000003</v>
      </c>
      <c r="R296" s="13">
        <v>0.40110400000000002</v>
      </c>
      <c r="S296" s="13">
        <v>0.41859400000000002</v>
      </c>
      <c r="T296" s="13">
        <v>0.39208799999999999</v>
      </c>
      <c r="U296" s="13">
        <v>0.409196</v>
      </c>
      <c r="V296" s="13">
        <v>0.41839800000000005</v>
      </c>
      <c r="W296" s="13">
        <v>0.51746000000000003</v>
      </c>
      <c r="X296" s="13">
        <v>0.414883</v>
      </c>
      <c r="Y296" s="13">
        <v>0.56312200000000001</v>
      </c>
      <c r="Z296" s="13">
        <v>0.57332300000000003</v>
      </c>
      <c r="AA296" s="13">
        <v>0.53554599999999997</v>
      </c>
      <c r="AB296" s="41">
        <f t="shared" si="11"/>
        <v>5.4913280000000011</v>
      </c>
    </row>
    <row r="297" spans="1:28" ht="14.4" x14ac:dyDescent="0.55000000000000004">
      <c r="A297" s="8" t="s">
        <v>100</v>
      </c>
      <c r="B297" s="12">
        <v>0.17</v>
      </c>
      <c r="C297" s="13">
        <v>0</v>
      </c>
      <c r="D297" s="13">
        <v>0.2</v>
      </c>
      <c r="E297" s="13">
        <v>0.2</v>
      </c>
      <c r="F297" s="13">
        <v>0.18</v>
      </c>
      <c r="G297" s="13">
        <v>0.18</v>
      </c>
      <c r="H297" s="13">
        <v>0.21</v>
      </c>
      <c r="I297" s="13">
        <v>0.2</v>
      </c>
      <c r="J297" s="12">
        <v>0.33</v>
      </c>
      <c r="K297" s="12">
        <v>0.28000000000000003</v>
      </c>
      <c r="L297" s="12">
        <v>0.34</v>
      </c>
      <c r="M297" s="12">
        <v>0.21</v>
      </c>
      <c r="N297" s="41">
        <f t="shared" si="10"/>
        <v>2.5</v>
      </c>
      <c r="O297" s="8" t="s">
        <v>100</v>
      </c>
      <c r="P297" s="13">
        <v>0.4</v>
      </c>
      <c r="Q297" s="13">
        <v>0.23</v>
      </c>
      <c r="R297" s="13">
        <v>0.43000000000000005</v>
      </c>
      <c r="S297" s="13">
        <v>0.43000000000000005</v>
      </c>
      <c r="T297" s="13">
        <v>0.41000000000000003</v>
      </c>
      <c r="U297" s="13">
        <v>0.41000000000000003</v>
      </c>
      <c r="V297" s="13">
        <v>0.44</v>
      </c>
      <c r="W297" s="13">
        <v>0.43000000000000005</v>
      </c>
      <c r="X297" s="13">
        <v>0.56000000000000005</v>
      </c>
      <c r="Y297" s="13">
        <v>0.51</v>
      </c>
      <c r="Z297" s="13">
        <v>0.57000000000000006</v>
      </c>
      <c r="AA297" s="13">
        <v>0.44</v>
      </c>
      <c r="AB297" s="41">
        <f t="shared" si="11"/>
        <v>5.2600000000000016</v>
      </c>
    </row>
    <row r="298" spans="1:28" ht="14.4" x14ac:dyDescent="0.55000000000000004">
      <c r="A298" s="10" t="s">
        <v>106</v>
      </c>
      <c r="B298" s="12">
        <v>0.265766</v>
      </c>
      <c r="C298" s="13">
        <v>0.17786199999999999</v>
      </c>
      <c r="D298" s="13">
        <v>0.20408699999999999</v>
      </c>
      <c r="E298" s="13">
        <v>0.18450800000000001</v>
      </c>
      <c r="F298" s="13">
        <v>0.23782700000000001</v>
      </c>
      <c r="G298" s="13">
        <v>0.182585</v>
      </c>
      <c r="H298" s="13">
        <v>0.25167899999999999</v>
      </c>
      <c r="I298" s="13">
        <v>0.189528</v>
      </c>
      <c r="J298" s="12">
        <v>0.28091100000000002</v>
      </c>
      <c r="K298" s="12">
        <v>0.33312199999999997</v>
      </c>
      <c r="L298" s="12">
        <v>0.34816999999999998</v>
      </c>
      <c r="M298" s="12">
        <v>0.27657199999999998</v>
      </c>
      <c r="N298" s="41">
        <f t="shared" si="10"/>
        <v>2.932617</v>
      </c>
      <c r="O298" s="10" t="s">
        <v>106</v>
      </c>
      <c r="P298" s="13">
        <v>0.49576600000000004</v>
      </c>
      <c r="Q298" s="13">
        <v>0.407862</v>
      </c>
      <c r="R298" s="13">
        <v>0.434087</v>
      </c>
      <c r="S298" s="13">
        <v>0.41450799999999999</v>
      </c>
      <c r="T298" s="13">
        <v>0.46782699999999999</v>
      </c>
      <c r="U298" s="13">
        <v>0.41258499999999998</v>
      </c>
      <c r="V298" s="13">
        <v>0.48167899999999997</v>
      </c>
      <c r="W298" s="13">
        <v>0.41952800000000001</v>
      </c>
      <c r="X298" s="13">
        <v>0.510911</v>
      </c>
      <c r="Y298" s="13">
        <v>0.56312200000000001</v>
      </c>
      <c r="Z298" s="13">
        <v>0.57816999999999996</v>
      </c>
      <c r="AA298" s="13">
        <v>0.50657200000000002</v>
      </c>
      <c r="AB298" s="41">
        <f t="shared" si="11"/>
        <v>5.6926170000000003</v>
      </c>
    </row>
    <row r="299" spans="1:28" ht="14.4" x14ac:dyDescent="0.55000000000000004">
      <c r="A299" s="10" t="s">
        <v>107</v>
      </c>
      <c r="B299" s="12">
        <v>0.20565700000000001</v>
      </c>
      <c r="C299" s="13">
        <v>0.17786199999999999</v>
      </c>
      <c r="D299" s="13">
        <v>0.167687</v>
      </c>
      <c r="E299" s="13">
        <v>0.159529</v>
      </c>
      <c r="F299" s="13">
        <v>0.15351100000000001</v>
      </c>
      <c r="G299" s="13">
        <v>0.182585</v>
      </c>
      <c r="H299" s="13">
        <v>0.22029199999999999</v>
      </c>
      <c r="I299" s="13">
        <v>0.196774</v>
      </c>
      <c r="J299" s="12">
        <v>0.28745999999999999</v>
      </c>
      <c r="K299" s="12">
        <v>0.24329899999999999</v>
      </c>
      <c r="L299" s="12">
        <v>0.26961200000000002</v>
      </c>
      <c r="M299" s="12">
        <v>0.26200600000000002</v>
      </c>
      <c r="N299" s="41">
        <f t="shared" si="10"/>
        <v>2.5262739999999999</v>
      </c>
      <c r="O299" s="10" t="s">
        <v>107</v>
      </c>
      <c r="P299" s="13">
        <v>0.43565700000000002</v>
      </c>
      <c r="Q299" s="13">
        <v>0.407862</v>
      </c>
      <c r="R299" s="13">
        <v>0.39768700000000001</v>
      </c>
      <c r="S299" s="13">
        <v>0.38952900000000001</v>
      </c>
      <c r="T299" s="13">
        <v>0.38351100000000005</v>
      </c>
      <c r="U299" s="13">
        <v>0.41258499999999998</v>
      </c>
      <c r="V299" s="13">
        <v>0.45029200000000003</v>
      </c>
      <c r="W299" s="13">
        <v>0.42677399999999999</v>
      </c>
      <c r="X299" s="13">
        <v>0.51746000000000003</v>
      </c>
      <c r="Y299" s="13">
        <v>0.47329900000000003</v>
      </c>
      <c r="Z299" s="13">
        <v>0.49961200000000006</v>
      </c>
      <c r="AA299" s="13">
        <v>0.49200600000000005</v>
      </c>
      <c r="AB299" s="41">
        <f t="shared" si="11"/>
        <v>5.2862739999999997</v>
      </c>
    </row>
    <row r="300" spans="1:28" ht="14.4" x14ac:dyDescent="0.55000000000000004">
      <c r="A300" s="10" t="s">
        <v>108</v>
      </c>
      <c r="B300" s="12">
        <v>-0.11816</v>
      </c>
      <c r="C300" s="13">
        <v>3.3822999999999999E-2</v>
      </c>
      <c r="D300" s="13">
        <v>-0.2321</v>
      </c>
      <c r="E300" s="13">
        <v>2.3050999999999999E-2</v>
      </c>
      <c r="F300" s="13">
        <v>4.9577000000000003E-2</v>
      </c>
      <c r="G300" s="13">
        <v>-1.848E-2</v>
      </c>
      <c r="H300" s="13">
        <v>3.0804999999999999E-2</v>
      </c>
      <c r="I300" s="13">
        <v>-0.1096</v>
      </c>
      <c r="J300" s="12">
        <v>-0.16474</v>
      </c>
      <c r="K300" s="12">
        <v>-1.6719999999999999E-2</v>
      </c>
      <c r="L300" s="12">
        <v>-6.0999999999999999E-2</v>
      </c>
      <c r="M300" s="12">
        <v>-0.11735</v>
      </c>
      <c r="N300" s="41">
        <f t="shared" si="10"/>
        <v>-0.70089400000000002</v>
      </c>
      <c r="O300" s="10" t="s">
        <v>108</v>
      </c>
      <c r="P300" s="13">
        <v>0.11184000000000001</v>
      </c>
      <c r="Q300" s="13">
        <v>0.26382300000000003</v>
      </c>
      <c r="R300" s="13">
        <v>-2.0999999999999908E-3</v>
      </c>
      <c r="S300" s="13">
        <v>0.25305100000000003</v>
      </c>
      <c r="T300" s="13">
        <v>0.27957700000000002</v>
      </c>
      <c r="U300" s="13">
        <v>0.21152000000000001</v>
      </c>
      <c r="V300" s="13">
        <v>0.26080500000000001</v>
      </c>
      <c r="W300" s="13">
        <v>0.12040000000000001</v>
      </c>
      <c r="X300" s="13">
        <v>6.5260000000000012E-2</v>
      </c>
      <c r="Y300" s="13">
        <v>0.21328000000000003</v>
      </c>
      <c r="Z300" s="13">
        <v>0.16900000000000001</v>
      </c>
      <c r="AA300" s="13">
        <v>0.11265000000000001</v>
      </c>
      <c r="AB300" s="41">
        <f t="shared" si="11"/>
        <v>2.0591059999999999</v>
      </c>
    </row>
    <row r="301" spans="1:28" ht="14.4" x14ac:dyDescent="0.55000000000000004">
      <c r="A301" s="10" t="s">
        <v>109</v>
      </c>
      <c r="B301" s="12">
        <v>0.19856499999999999</v>
      </c>
      <c r="C301" s="13">
        <v>0.15598699999999999</v>
      </c>
      <c r="D301" s="13">
        <v>0.15984499999999999</v>
      </c>
      <c r="E301" s="13">
        <v>0.15614600000000001</v>
      </c>
      <c r="F301" s="13">
        <v>0.13520699999999999</v>
      </c>
      <c r="G301" s="13">
        <v>0.13910700000000001</v>
      </c>
      <c r="H301" s="13">
        <v>0.210259</v>
      </c>
      <c r="I301" s="13">
        <v>0.182281</v>
      </c>
      <c r="J301" s="12">
        <v>0.35512500000000002</v>
      </c>
      <c r="K301" s="12">
        <v>0.27004600000000001</v>
      </c>
      <c r="L301" s="12">
        <v>0.22257299999999999</v>
      </c>
      <c r="M301" s="12">
        <v>0.27652100000000002</v>
      </c>
      <c r="N301" s="41">
        <f t="shared" si="10"/>
        <v>2.4616619999999996</v>
      </c>
      <c r="O301" s="10" t="s">
        <v>109</v>
      </c>
      <c r="P301" s="13">
        <v>0.42856499999999997</v>
      </c>
      <c r="Q301" s="13">
        <v>0.38598699999999997</v>
      </c>
      <c r="R301" s="13">
        <v>0.389845</v>
      </c>
      <c r="S301" s="13">
        <v>0.38614599999999999</v>
      </c>
      <c r="T301" s="13">
        <v>0.365207</v>
      </c>
      <c r="U301" s="13">
        <v>0.36910700000000002</v>
      </c>
      <c r="V301" s="13">
        <v>0.44025900000000001</v>
      </c>
      <c r="W301" s="13">
        <v>0.41228100000000001</v>
      </c>
      <c r="X301" s="13">
        <v>0.58512500000000001</v>
      </c>
      <c r="Y301" s="13">
        <v>0.50004599999999999</v>
      </c>
      <c r="Z301" s="13">
        <v>0.452573</v>
      </c>
      <c r="AA301" s="13">
        <v>0.506521</v>
      </c>
      <c r="AB301" s="41">
        <f t="shared" si="11"/>
        <v>5.2216620000000002</v>
      </c>
    </row>
    <row r="302" spans="1:28" ht="14.4" x14ac:dyDescent="0.55000000000000004">
      <c r="A302" s="10" t="s">
        <v>110</v>
      </c>
      <c r="B302" s="12">
        <v>0.17198099999999999</v>
      </c>
      <c r="C302" s="13">
        <v>0.180178</v>
      </c>
      <c r="D302" s="13">
        <v>0.17110400000000001</v>
      </c>
      <c r="E302" s="13">
        <v>0.158111</v>
      </c>
      <c r="F302" s="13">
        <v>0.14988799999999999</v>
      </c>
      <c r="G302" s="13">
        <v>0.18352199999999999</v>
      </c>
      <c r="H302" s="13">
        <v>0.257108</v>
      </c>
      <c r="I302" s="13">
        <v>0.22489999999999999</v>
      </c>
      <c r="J302" s="12">
        <v>0.27437600000000001</v>
      </c>
      <c r="K302" s="12">
        <v>0.31725399999999998</v>
      </c>
      <c r="L302" s="12">
        <v>0.18005199999999999</v>
      </c>
      <c r="M302" s="12">
        <v>0.16889000000000001</v>
      </c>
      <c r="N302" s="41">
        <f t="shared" si="10"/>
        <v>2.4373640000000001</v>
      </c>
      <c r="O302" s="10" t="s">
        <v>110</v>
      </c>
      <c r="P302" s="13">
        <v>0.40198100000000003</v>
      </c>
      <c r="Q302" s="13">
        <v>0.41017800000000004</v>
      </c>
      <c r="R302" s="13">
        <v>0.40110400000000002</v>
      </c>
      <c r="S302" s="13">
        <v>0.38811099999999998</v>
      </c>
      <c r="T302" s="13">
        <v>0.379888</v>
      </c>
      <c r="U302" s="13">
        <v>0.413522</v>
      </c>
      <c r="V302" s="13">
        <v>0.48710799999999999</v>
      </c>
      <c r="W302" s="13">
        <v>0.45489999999999997</v>
      </c>
      <c r="X302" s="13">
        <v>0.50437600000000005</v>
      </c>
      <c r="Y302" s="13">
        <v>0.54725400000000002</v>
      </c>
      <c r="Z302" s="13">
        <v>0.41005199999999997</v>
      </c>
      <c r="AA302" s="13">
        <v>0.39889000000000002</v>
      </c>
      <c r="AB302" s="41">
        <f t="shared" si="11"/>
        <v>5.1973640000000003</v>
      </c>
    </row>
    <row r="303" spans="1:28" ht="14.4" x14ac:dyDescent="0.55000000000000004">
      <c r="A303" s="10" t="s">
        <v>111</v>
      </c>
      <c r="B303" s="12">
        <v>0.20153699999999999</v>
      </c>
      <c r="C303" s="13">
        <v>0.16980500000000001</v>
      </c>
      <c r="D303" s="13">
        <v>0.163216</v>
      </c>
      <c r="E303" s="13">
        <v>0.15881999999999999</v>
      </c>
      <c r="F303" s="13">
        <v>0.152281</v>
      </c>
      <c r="G303" s="13">
        <v>0.170436</v>
      </c>
      <c r="H303" s="13">
        <v>0.202349</v>
      </c>
      <c r="I303" s="13">
        <v>0.18848899999999999</v>
      </c>
      <c r="J303" s="12">
        <v>0.31147000000000002</v>
      </c>
      <c r="K303" s="12">
        <v>0.30864599999999998</v>
      </c>
      <c r="L303" s="12">
        <v>0.22257299999999999</v>
      </c>
      <c r="M303" s="12">
        <v>0.291298</v>
      </c>
      <c r="N303" s="41">
        <f t="shared" si="10"/>
        <v>2.5409199999999998</v>
      </c>
      <c r="O303" s="10" t="s">
        <v>111</v>
      </c>
      <c r="P303" s="13">
        <v>0.431537</v>
      </c>
      <c r="Q303" s="13">
        <v>0.39980500000000002</v>
      </c>
      <c r="R303" s="13">
        <v>0.39321600000000001</v>
      </c>
      <c r="S303" s="13">
        <v>0.38882</v>
      </c>
      <c r="T303" s="13">
        <v>0.38228099999999998</v>
      </c>
      <c r="U303" s="13">
        <v>0.40043600000000001</v>
      </c>
      <c r="V303" s="13">
        <v>0.43234899999999998</v>
      </c>
      <c r="W303" s="13">
        <v>0.418489</v>
      </c>
      <c r="X303" s="13">
        <v>0.54147000000000001</v>
      </c>
      <c r="Y303" s="13">
        <v>0.53864599999999996</v>
      </c>
      <c r="Z303" s="13">
        <v>0.452573</v>
      </c>
      <c r="AA303" s="13">
        <v>0.52129800000000004</v>
      </c>
      <c r="AB303" s="41">
        <f t="shared" si="11"/>
        <v>5.3009199999999996</v>
      </c>
    </row>
    <row r="304" spans="1:28" ht="14.4" x14ac:dyDescent="0.55000000000000004">
      <c r="A304" s="14" t="s">
        <v>112</v>
      </c>
      <c r="B304" s="12">
        <v>0.21371299999999999</v>
      </c>
      <c r="C304" s="13">
        <v>0.15387300000000001</v>
      </c>
      <c r="D304" s="13">
        <v>0.16427</v>
      </c>
      <c r="E304" s="13">
        <v>0.17121500000000001</v>
      </c>
      <c r="F304" s="13">
        <v>0.13647300000000001</v>
      </c>
      <c r="G304" s="13">
        <v>0.17580599999999999</v>
      </c>
      <c r="H304" s="13">
        <v>0.21671899999999999</v>
      </c>
      <c r="I304" s="13">
        <v>0.189528</v>
      </c>
      <c r="J304" s="12">
        <v>0.28745999999999999</v>
      </c>
      <c r="K304" s="12">
        <v>0.31735000000000002</v>
      </c>
      <c r="L304" s="12">
        <v>0.380718</v>
      </c>
      <c r="M304" s="12">
        <v>0.28479900000000002</v>
      </c>
      <c r="N304" s="41">
        <f t="shared" si="10"/>
        <v>2.6919239999999998</v>
      </c>
      <c r="O304" s="14" t="s">
        <v>112</v>
      </c>
      <c r="P304" s="13">
        <v>0.44371300000000002</v>
      </c>
      <c r="Q304" s="13">
        <v>0.38387300000000002</v>
      </c>
      <c r="R304" s="13">
        <v>0.39427000000000001</v>
      </c>
      <c r="S304" s="13">
        <v>0.40121499999999999</v>
      </c>
      <c r="T304" s="13">
        <v>0.36647300000000005</v>
      </c>
      <c r="U304" s="13">
        <v>0.405806</v>
      </c>
      <c r="V304" s="13">
        <v>0.44671899999999998</v>
      </c>
      <c r="W304" s="13">
        <v>0.41952800000000001</v>
      </c>
      <c r="X304" s="13">
        <v>0.51746000000000003</v>
      </c>
      <c r="Y304" s="13">
        <v>0.54735</v>
      </c>
      <c r="Z304" s="13">
        <v>0.61071799999999998</v>
      </c>
      <c r="AA304" s="13">
        <v>0.51479900000000001</v>
      </c>
      <c r="AB304" s="41">
        <f t="shared" si="11"/>
        <v>5.451924</v>
      </c>
    </row>
    <row r="305" spans="1:28" ht="14.4" x14ac:dyDescent="0.55000000000000004">
      <c r="A305" s="15" t="s">
        <v>113</v>
      </c>
      <c r="B305" s="12">
        <v>0.203678</v>
      </c>
      <c r="C305" s="13">
        <v>0.15387300000000001</v>
      </c>
      <c r="D305" s="13">
        <v>0.18119099999999999</v>
      </c>
      <c r="E305" s="13">
        <v>0.18707399999999999</v>
      </c>
      <c r="F305" s="13">
        <v>5.6930000000000001E-2</v>
      </c>
      <c r="G305" s="13">
        <v>0.21240000000000001</v>
      </c>
      <c r="H305" s="13">
        <v>0.21671899999999999</v>
      </c>
      <c r="I305" s="13">
        <v>0.19469600000000001</v>
      </c>
      <c r="J305" s="12">
        <v>0.35512500000000002</v>
      </c>
      <c r="K305" s="12">
        <v>0.26902700000000002</v>
      </c>
      <c r="L305" s="12">
        <v>0.26961200000000002</v>
      </c>
      <c r="M305" s="12">
        <v>0.26165699999999997</v>
      </c>
      <c r="N305" s="41">
        <f t="shared" si="10"/>
        <v>2.561982</v>
      </c>
      <c r="O305" s="15" t="s">
        <v>113</v>
      </c>
      <c r="P305" s="13">
        <v>0.43367800000000001</v>
      </c>
      <c r="Q305" s="13">
        <v>0.38387300000000002</v>
      </c>
      <c r="R305" s="13">
        <v>0.41119099999999997</v>
      </c>
      <c r="S305" s="13">
        <v>0.417074</v>
      </c>
      <c r="T305" s="13">
        <v>0.28693000000000002</v>
      </c>
      <c r="U305" s="13">
        <v>0.44240000000000002</v>
      </c>
      <c r="V305" s="13">
        <v>0.44671899999999998</v>
      </c>
      <c r="W305" s="13">
        <v>0.42469600000000002</v>
      </c>
      <c r="X305" s="13">
        <v>0.58512500000000001</v>
      </c>
      <c r="Y305" s="13">
        <v>0.499027</v>
      </c>
      <c r="Z305" s="13">
        <v>0.49961200000000006</v>
      </c>
      <c r="AA305" s="13">
        <v>0.49165700000000001</v>
      </c>
      <c r="AB305" s="41">
        <f t="shared" si="11"/>
        <v>5.3219820000000002</v>
      </c>
    </row>
    <row r="306" spans="1:28" ht="14.4" x14ac:dyDescent="0.55000000000000004">
      <c r="A306" s="16" t="s">
        <v>114</v>
      </c>
      <c r="B306" s="12">
        <v>0.20968500000000001</v>
      </c>
      <c r="C306" s="13">
        <v>0.16980899999999999</v>
      </c>
      <c r="D306" s="13">
        <v>0.15958800000000001</v>
      </c>
      <c r="E306" s="13">
        <v>0.191769</v>
      </c>
      <c r="F306" s="13">
        <v>0.27967700000000001</v>
      </c>
      <c r="G306" s="13">
        <v>0.17919599999999999</v>
      </c>
      <c r="H306" s="13">
        <v>0.18696099999999999</v>
      </c>
      <c r="I306" s="13">
        <v>0.189528</v>
      </c>
      <c r="J306" s="12">
        <v>0.355298</v>
      </c>
      <c r="K306" s="12">
        <v>0.27004600000000001</v>
      </c>
      <c r="L306" s="12">
        <v>0.328484</v>
      </c>
      <c r="M306" s="12">
        <v>0.21846599999999999</v>
      </c>
      <c r="N306" s="41">
        <f t="shared" si="10"/>
        <v>2.7385069999999994</v>
      </c>
      <c r="O306" s="16" t="s">
        <v>114</v>
      </c>
      <c r="P306" s="13">
        <v>0.43968499999999999</v>
      </c>
      <c r="Q306" s="13">
        <v>0.39980899999999997</v>
      </c>
      <c r="R306" s="13">
        <v>0.38958800000000005</v>
      </c>
      <c r="S306" s="13">
        <v>0.42176900000000001</v>
      </c>
      <c r="T306" s="13">
        <v>0.50967700000000005</v>
      </c>
      <c r="U306" s="13">
        <v>0.409196</v>
      </c>
      <c r="V306" s="13">
        <v>0.41696100000000003</v>
      </c>
      <c r="W306" s="13">
        <v>0.41952800000000001</v>
      </c>
      <c r="X306" s="13">
        <v>0.58529799999999998</v>
      </c>
      <c r="Y306" s="13">
        <v>0.50004599999999999</v>
      </c>
      <c r="Z306" s="13">
        <v>0.55848399999999998</v>
      </c>
      <c r="AA306" s="13">
        <v>0.44846600000000003</v>
      </c>
      <c r="AB306" s="41">
        <f t="shared" si="11"/>
        <v>5.498507</v>
      </c>
    </row>
    <row r="307" spans="1:28" ht="14.4" x14ac:dyDescent="0.55000000000000004">
      <c r="A307" s="8" t="s">
        <v>115</v>
      </c>
      <c r="B307" s="12">
        <v>0.20565700000000001</v>
      </c>
      <c r="C307" s="13">
        <v>0.145485</v>
      </c>
      <c r="D307" s="13">
        <v>0.17110400000000001</v>
      </c>
      <c r="E307" s="13">
        <v>0.159529</v>
      </c>
      <c r="F307" s="13">
        <v>0.235267</v>
      </c>
      <c r="G307" s="13">
        <v>0.17580599999999999</v>
      </c>
      <c r="H307" s="13">
        <v>0.22029199999999999</v>
      </c>
      <c r="I307" s="13">
        <v>0.18488299999999999</v>
      </c>
      <c r="J307" s="12">
        <v>0.28745999999999999</v>
      </c>
      <c r="K307" s="12">
        <v>0.25016300000000002</v>
      </c>
      <c r="L307" s="12">
        <v>0.26961200000000002</v>
      </c>
      <c r="M307" s="12">
        <v>0.28059499999999998</v>
      </c>
      <c r="N307" s="41">
        <f t="shared" si="10"/>
        <v>2.5858529999999997</v>
      </c>
      <c r="O307" s="8" t="s">
        <v>115</v>
      </c>
      <c r="P307" s="13">
        <v>0.43565700000000002</v>
      </c>
      <c r="Q307" s="13">
        <v>0.37548500000000001</v>
      </c>
      <c r="R307" s="13">
        <v>0.40110400000000002</v>
      </c>
      <c r="S307" s="13">
        <v>0.38952900000000001</v>
      </c>
      <c r="T307" s="13">
        <v>0.46526699999999999</v>
      </c>
      <c r="U307" s="13">
        <v>0.405806</v>
      </c>
      <c r="V307" s="13">
        <v>0.45029200000000003</v>
      </c>
      <c r="W307" s="13">
        <v>0.414883</v>
      </c>
      <c r="X307" s="13">
        <v>0.51746000000000003</v>
      </c>
      <c r="Y307" s="13">
        <v>0.48016300000000001</v>
      </c>
      <c r="Z307" s="13">
        <v>0.49961200000000006</v>
      </c>
      <c r="AA307" s="13">
        <v>0.51059500000000002</v>
      </c>
      <c r="AB307" s="41">
        <f t="shared" si="11"/>
        <v>5.3458530000000009</v>
      </c>
    </row>
    <row r="308" spans="1:28" ht="14.4" x14ac:dyDescent="0.55000000000000004">
      <c r="A308" s="10" t="s">
        <v>20</v>
      </c>
      <c r="B308" s="12">
        <v>0.21371299999999999</v>
      </c>
      <c r="C308" s="13">
        <v>0.18942200000000001</v>
      </c>
      <c r="D308" s="13">
        <v>0.199434</v>
      </c>
      <c r="E308" s="13">
        <v>0.159529</v>
      </c>
      <c r="F308" s="13">
        <v>0.17066500000000001</v>
      </c>
      <c r="G308" s="13">
        <v>0.18352199999999999</v>
      </c>
      <c r="H308" s="13">
        <v>0.22386500000000001</v>
      </c>
      <c r="I308" s="13">
        <v>0.19469600000000001</v>
      </c>
      <c r="J308" s="12">
        <v>0.28745999999999999</v>
      </c>
      <c r="K308" s="12">
        <v>0.23643500000000001</v>
      </c>
      <c r="L308" s="12">
        <v>0.25386599999999998</v>
      </c>
      <c r="M308" s="12">
        <v>0.28360200000000002</v>
      </c>
      <c r="N308" s="41">
        <f t="shared" si="10"/>
        <v>2.596209</v>
      </c>
      <c r="O308" s="10" t="s">
        <v>20</v>
      </c>
      <c r="P308" s="13">
        <v>0.44371300000000002</v>
      </c>
      <c r="Q308" s="13">
        <v>0.41942200000000002</v>
      </c>
      <c r="R308" s="13">
        <v>0.42943399999999998</v>
      </c>
      <c r="S308" s="13">
        <v>0.38952900000000001</v>
      </c>
      <c r="T308" s="13">
        <v>0.40066500000000005</v>
      </c>
      <c r="U308" s="13">
        <v>0.413522</v>
      </c>
      <c r="V308" s="13">
        <v>0.45386500000000002</v>
      </c>
      <c r="W308" s="13">
        <v>0.42469600000000002</v>
      </c>
      <c r="X308" s="13">
        <v>0.51746000000000003</v>
      </c>
      <c r="Y308" s="13">
        <v>0.46643500000000004</v>
      </c>
      <c r="Z308" s="13">
        <v>0.48386600000000002</v>
      </c>
      <c r="AA308" s="13">
        <v>0.513602</v>
      </c>
      <c r="AB308" s="41">
        <f t="shared" si="11"/>
        <v>5.3562089999999989</v>
      </c>
    </row>
    <row r="309" spans="1:28" ht="14.4" x14ac:dyDescent="0.55000000000000004">
      <c r="A309" s="8" t="s">
        <v>21</v>
      </c>
      <c r="B309" s="12">
        <v>0.203678</v>
      </c>
      <c r="C309" s="13">
        <v>0.166743</v>
      </c>
      <c r="D309" s="13">
        <v>0.17110400000000001</v>
      </c>
      <c r="E309" s="13">
        <v>0.18450800000000001</v>
      </c>
      <c r="F309" s="13">
        <v>0.196876</v>
      </c>
      <c r="G309" s="13">
        <v>0.17580599999999999</v>
      </c>
      <c r="H309" s="13">
        <v>0.18696099999999999</v>
      </c>
      <c r="I309" s="13">
        <v>0.19573499999999999</v>
      </c>
      <c r="J309" s="12">
        <v>0.28745999999999999</v>
      </c>
      <c r="K309" s="12">
        <v>0.293271</v>
      </c>
      <c r="L309" s="12">
        <v>0.223161</v>
      </c>
      <c r="M309" s="12">
        <v>0.26165699999999997</v>
      </c>
      <c r="N309" s="41">
        <f t="shared" si="10"/>
        <v>2.5469599999999999</v>
      </c>
      <c r="O309" s="8" t="s">
        <v>21</v>
      </c>
      <c r="P309" s="13">
        <v>0.43367800000000001</v>
      </c>
      <c r="Q309" s="13">
        <v>0.39674300000000001</v>
      </c>
      <c r="R309" s="13">
        <v>0.40110400000000002</v>
      </c>
      <c r="S309" s="13">
        <v>0.41450799999999999</v>
      </c>
      <c r="T309" s="13">
        <v>0.42687600000000003</v>
      </c>
      <c r="U309" s="13">
        <v>0.405806</v>
      </c>
      <c r="V309" s="13">
        <v>0.41696100000000003</v>
      </c>
      <c r="W309" s="13">
        <v>0.42573499999999997</v>
      </c>
      <c r="X309" s="13">
        <v>0.51746000000000003</v>
      </c>
      <c r="Y309" s="13">
        <v>0.52327100000000004</v>
      </c>
      <c r="Z309" s="13">
        <v>0.45316100000000004</v>
      </c>
      <c r="AA309" s="13">
        <v>0.49165700000000001</v>
      </c>
      <c r="AB309" s="41">
        <f t="shared" si="11"/>
        <v>5.3069600000000001</v>
      </c>
    </row>
    <row r="310" spans="1:28" ht="14.4" x14ac:dyDescent="0.55000000000000004">
      <c r="A310" s="8" t="s">
        <v>22</v>
      </c>
      <c r="B310" s="12">
        <v>0.23974000000000001</v>
      </c>
      <c r="C310" s="13">
        <v>0.166743</v>
      </c>
      <c r="D310" s="13">
        <v>0.15951599999999999</v>
      </c>
      <c r="E310" s="13">
        <v>0.17358799999999999</v>
      </c>
      <c r="F310" s="13">
        <v>0.20091300000000001</v>
      </c>
      <c r="G310" s="13">
        <v>0.21874199999999999</v>
      </c>
      <c r="H310" s="13">
        <v>0.19952400000000001</v>
      </c>
      <c r="I310" s="13">
        <v>0.196774</v>
      </c>
      <c r="J310" s="12">
        <v>0.28745999999999999</v>
      </c>
      <c r="K310" s="12">
        <v>0.33312199999999997</v>
      </c>
      <c r="L310" s="12">
        <v>0.223161</v>
      </c>
      <c r="M310" s="12">
        <v>0.32018099999999999</v>
      </c>
      <c r="N310" s="41">
        <f t="shared" si="10"/>
        <v>2.7194639999999999</v>
      </c>
      <c r="O310" s="8" t="s">
        <v>22</v>
      </c>
      <c r="P310" s="13">
        <v>0.46974000000000005</v>
      </c>
      <c r="Q310" s="13">
        <v>0.39674300000000001</v>
      </c>
      <c r="R310" s="13">
        <v>0.38951599999999997</v>
      </c>
      <c r="S310" s="13">
        <v>0.403588</v>
      </c>
      <c r="T310" s="13">
        <v>0.43091299999999999</v>
      </c>
      <c r="U310" s="13">
        <v>0.44874199999999997</v>
      </c>
      <c r="V310" s="13">
        <v>0.42952400000000002</v>
      </c>
      <c r="W310" s="13">
        <v>0.42677399999999999</v>
      </c>
      <c r="X310" s="13">
        <v>0.51746000000000003</v>
      </c>
      <c r="Y310" s="13">
        <v>0.56312200000000001</v>
      </c>
      <c r="Z310" s="13">
        <v>0.45316100000000004</v>
      </c>
      <c r="AA310" s="13">
        <v>0.55018100000000003</v>
      </c>
      <c r="AB310" s="41">
        <f t="shared" si="11"/>
        <v>5.4794639999999992</v>
      </c>
    </row>
    <row r="311" spans="1:28" ht="14.4" x14ac:dyDescent="0.55000000000000004">
      <c r="A311" s="45" t="s">
        <v>99</v>
      </c>
      <c r="B311" s="12">
        <v>0.23974000000000001</v>
      </c>
      <c r="C311" s="13">
        <v>0.166743</v>
      </c>
      <c r="D311" s="13">
        <v>0.15951599999999999</v>
      </c>
      <c r="E311" s="13">
        <v>0.159529</v>
      </c>
      <c r="F311" s="13">
        <v>0.20091300000000001</v>
      </c>
      <c r="G311" s="13">
        <v>0.17580599999999999</v>
      </c>
      <c r="H311" s="13">
        <v>0.21</v>
      </c>
      <c r="I311" s="13">
        <v>0.196774</v>
      </c>
      <c r="J311" s="12">
        <v>0.28745999999999999</v>
      </c>
      <c r="K311" s="12">
        <v>0.28000000000000003</v>
      </c>
      <c r="L311" s="12">
        <v>0.34</v>
      </c>
      <c r="M311" s="12">
        <v>0.28059499999999998</v>
      </c>
      <c r="O311" s="45" t="s">
        <v>99</v>
      </c>
      <c r="P311" s="13">
        <v>0.46974000000000005</v>
      </c>
      <c r="Q311" s="13">
        <v>0.39674300000000001</v>
      </c>
      <c r="R311" s="13">
        <v>0.38951599999999997</v>
      </c>
      <c r="S311" s="13">
        <v>0.38952900000000001</v>
      </c>
      <c r="T311" s="13">
        <v>0.43091299999999999</v>
      </c>
      <c r="U311" s="13">
        <v>0.405806</v>
      </c>
      <c r="V311" s="13">
        <v>0.44</v>
      </c>
      <c r="W311" s="13">
        <v>0.42677399999999999</v>
      </c>
      <c r="X311" s="13">
        <v>0.51746000000000003</v>
      </c>
      <c r="Y311" s="13">
        <v>0.51</v>
      </c>
      <c r="Z311" s="13">
        <v>0.57000000000000006</v>
      </c>
      <c r="AA311" s="13">
        <v>0.51059500000000002</v>
      </c>
    </row>
    <row r="312" spans="1:28" ht="14.4" x14ac:dyDescent="0.55000000000000004">
      <c r="A312" s="25" t="s">
        <v>31</v>
      </c>
      <c r="B312" s="30"/>
      <c r="C312" s="13"/>
      <c r="D312" s="13"/>
      <c r="E312" s="13"/>
      <c r="F312" s="13"/>
      <c r="G312" s="13"/>
      <c r="H312" s="13"/>
      <c r="I312" s="13"/>
      <c r="J312" s="12"/>
      <c r="K312" s="12"/>
      <c r="L312" s="12"/>
      <c r="M312" s="12"/>
    </row>
    <row r="313" spans="1:28" ht="14.4" x14ac:dyDescent="0.55000000000000004">
      <c r="A313" s="25"/>
      <c r="B313" s="30"/>
      <c r="C313" s="13"/>
      <c r="D313" s="13"/>
      <c r="E313" s="13"/>
      <c r="F313" s="13"/>
      <c r="G313" s="13"/>
      <c r="H313" s="13"/>
      <c r="I313" s="13"/>
      <c r="J313" s="12"/>
      <c r="K313" s="12"/>
      <c r="L313" s="12"/>
      <c r="M313" s="12"/>
    </row>
    <row r="314" spans="1:28" ht="14.4" x14ac:dyDescent="0.55000000000000004">
      <c r="A314" s="25"/>
      <c r="B314" s="30"/>
      <c r="C314" s="13"/>
      <c r="D314" s="13"/>
      <c r="E314" s="13"/>
      <c r="F314" s="13"/>
      <c r="G314" s="13"/>
      <c r="H314" s="13"/>
      <c r="I314" s="13"/>
      <c r="J314" s="12"/>
      <c r="K314" s="12"/>
      <c r="L314" s="12"/>
      <c r="M314" s="12"/>
    </row>
    <row r="315" spans="1:28" ht="14.4" x14ac:dyDescent="0.55000000000000004">
      <c r="A315" s="25"/>
      <c r="B315" s="30"/>
      <c r="C315" s="13"/>
      <c r="D315" s="13"/>
      <c r="E315" s="13"/>
      <c r="F315" s="13"/>
      <c r="G315" s="13"/>
      <c r="H315" s="13"/>
      <c r="I315" s="13"/>
      <c r="J315" s="12"/>
      <c r="K315" s="12"/>
      <c r="L315" s="12"/>
      <c r="M315" s="12"/>
    </row>
    <row r="316" spans="1:28" ht="14.4" x14ac:dyDescent="0.55000000000000004">
      <c r="A316" s="25"/>
      <c r="B316" s="30"/>
      <c r="C316" s="13"/>
      <c r="D316" s="13"/>
      <c r="E316" s="13"/>
      <c r="F316" s="13"/>
      <c r="G316" s="13"/>
      <c r="H316" s="13"/>
      <c r="I316" s="13"/>
      <c r="J316" s="12"/>
      <c r="K316" s="12"/>
      <c r="L316" s="12"/>
      <c r="M316" s="12"/>
    </row>
    <row r="317" spans="1:28" ht="14.4" x14ac:dyDescent="0.55000000000000004">
      <c r="A317" s="25"/>
      <c r="B317" s="30"/>
      <c r="C317" s="13"/>
      <c r="D317" s="13"/>
      <c r="E317" s="13"/>
      <c r="F317" s="13"/>
      <c r="G317" s="13"/>
      <c r="H317" s="13"/>
      <c r="I317" s="13"/>
      <c r="J317" s="12"/>
      <c r="K317" s="12"/>
      <c r="L317" s="12"/>
      <c r="M317" s="12"/>
    </row>
    <row r="318" spans="1:28" ht="30.3" x14ac:dyDescent="1">
      <c r="A318" s="31" t="s">
        <v>69</v>
      </c>
      <c r="B318" s="3"/>
      <c r="C318" s="6"/>
      <c r="D318" s="6"/>
      <c r="E318" s="6"/>
      <c r="F318" s="6"/>
      <c r="G318" s="7"/>
      <c r="H318" s="6"/>
      <c r="I318" s="7"/>
    </row>
    <row r="319" spans="1:28" ht="15" x14ac:dyDescent="0.5">
      <c r="A319" s="24"/>
      <c r="B319" s="2"/>
    </row>
    <row r="320" spans="1:28" ht="15" x14ac:dyDescent="0.5">
      <c r="A320" s="28" t="s">
        <v>1</v>
      </c>
      <c r="B320" s="3" t="s">
        <v>2</v>
      </c>
      <c r="C320" s="3" t="s">
        <v>3</v>
      </c>
      <c r="D320" s="3" t="s">
        <v>4</v>
      </c>
      <c r="E320" s="3" t="s">
        <v>5</v>
      </c>
      <c r="F320" s="3" t="s">
        <v>6</v>
      </c>
      <c r="G320" s="3" t="s">
        <v>7</v>
      </c>
      <c r="H320" s="3" t="s">
        <v>8</v>
      </c>
      <c r="I320" s="3" t="s">
        <v>9</v>
      </c>
      <c r="J320" s="3" t="s">
        <v>10</v>
      </c>
      <c r="K320" s="3" t="s">
        <v>11</v>
      </c>
      <c r="L320" s="3" t="s">
        <v>12</v>
      </c>
      <c r="M320" s="4">
        <v>151676</v>
      </c>
    </row>
    <row r="321" spans="1:14" ht="12.3" x14ac:dyDescent="0.4">
      <c r="A321" s="5" t="s">
        <v>13</v>
      </c>
      <c r="B321" s="6">
        <v>0.78164042597031902</v>
      </c>
      <c r="C321" s="6">
        <v>0.74545545692291504</v>
      </c>
      <c r="D321" s="6">
        <v>0.67366051259603099</v>
      </c>
      <c r="E321" s="6">
        <v>0.77852274164361301</v>
      </c>
      <c r="F321" s="6">
        <v>0.70416733004457599</v>
      </c>
      <c r="G321" s="6">
        <v>0.749683112381341</v>
      </c>
      <c r="H321" s="6">
        <v>0.65166401037065502</v>
      </c>
      <c r="I321" s="6">
        <v>0.72088090885314104</v>
      </c>
      <c r="J321" s="6">
        <v>0.60515218666593795</v>
      </c>
      <c r="K321" s="6">
        <v>0.58707412546063797</v>
      </c>
      <c r="L321" s="6">
        <v>0.59062365236775505</v>
      </c>
      <c r="M321" s="6">
        <v>0.52135007385129795</v>
      </c>
      <c r="N321" s="41">
        <f>SUM(B321:M321)</f>
        <v>8.1098745371282206</v>
      </c>
    </row>
    <row r="322" spans="1:14" ht="12.3" x14ac:dyDescent="0.4">
      <c r="A322" s="5" t="s">
        <v>14</v>
      </c>
      <c r="B322" s="6">
        <v>0.56936160260255997</v>
      </c>
      <c r="C322" s="6">
        <v>0.51324399113992403</v>
      </c>
      <c r="D322" s="6">
        <v>0.60414784320260395</v>
      </c>
      <c r="E322" s="6">
        <v>0.61300117128838705</v>
      </c>
      <c r="F322" s="6">
        <v>0.64461123464080605</v>
      </c>
      <c r="G322" s="6">
        <v>0.70016568496173803</v>
      </c>
      <c r="H322" s="6">
        <v>0.57087603146434496</v>
      </c>
      <c r="I322" s="6">
        <v>0.60889125171520397</v>
      </c>
      <c r="J322" s="6">
        <v>0.55283093064413202</v>
      </c>
      <c r="K322" s="6">
        <v>0.39163175943281803</v>
      </c>
      <c r="L322" s="6">
        <v>0.51482114117868305</v>
      </c>
      <c r="M322" s="6">
        <v>0.45444759029259002</v>
      </c>
      <c r="N322" s="41">
        <f t="shared" ref="N322:N342" si="12">SUM(B322:M322)</f>
        <v>6.7380302325637915</v>
      </c>
    </row>
    <row r="323" spans="1:14" ht="12.3" x14ac:dyDescent="0.4">
      <c r="A323" s="5" t="s">
        <v>15</v>
      </c>
      <c r="B323" s="6">
        <v>0.64342570102638097</v>
      </c>
      <c r="C323" s="6">
        <v>0.621468183583745</v>
      </c>
      <c r="D323" s="6">
        <v>0.63895728586824696</v>
      </c>
      <c r="E323" s="6">
        <v>0.70336376630682496</v>
      </c>
      <c r="F323" s="6">
        <v>0.73688429866136995</v>
      </c>
      <c r="G323" s="6">
        <v>0.729377565514575</v>
      </c>
      <c r="H323" s="6">
        <v>0.647262025835455</v>
      </c>
      <c r="I323" s="6">
        <v>0.69673489540932299</v>
      </c>
      <c r="J323" s="6">
        <v>0.53102377920634303</v>
      </c>
      <c r="K323" s="6">
        <v>0.500629935303327</v>
      </c>
      <c r="L323" s="6">
        <v>0.54557404705594204</v>
      </c>
      <c r="M323" s="6">
        <v>0.63386026632199399</v>
      </c>
      <c r="N323" s="41">
        <f t="shared" si="12"/>
        <v>7.6285617500935281</v>
      </c>
    </row>
    <row r="324" spans="1:14" ht="12.3" x14ac:dyDescent="0.4">
      <c r="A324" s="5" t="s">
        <v>16</v>
      </c>
      <c r="B324" s="6">
        <v>0.72433005980068899</v>
      </c>
      <c r="C324" s="6">
        <v>0.68656957968633903</v>
      </c>
      <c r="D324" s="6">
        <v>0.69534794521777799</v>
      </c>
      <c r="E324" s="6">
        <v>0.74124450342577897</v>
      </c>
      <c r="F324" s="6">
        <v>0.709116106027041</v>
      </c>
      <c r="G324" s="6">
        <v>0.75979821589233398</v>
      </c>
      <c r="H324" s="6">
        <v>0.649831397250896</v>
      </c>
      <c r="I324" s="6">
        <v>0.74725965871559796</v>
      </c>
      <c r="J324" s="6">
        <v>0.62214190336052899</v>
      </c>
      <c r="K324" s="6">
        <v>0.555597216867314</v>
      </c>
      <c r="L324" s="6">
        <v>0.64688377763301597</v>
      </c>
      <c r="M324" s="6">
        <v>0.63386026632199399</v>
      </c>
      <c r="N324" s="41">
        <f t="shared" si="12"/>
        <v>8.1719806301993057</v>
      </c>
    </row>
    <row r="325" spans="1:14" ht="14.4" x14ac:dyDescent="0.55000000000000004">
      <c r="A325" s="5" t="s">
        <v>17</v>
      </c>
      <c r="B325" s="7">
        <v>0.67571499999999995</v>
      </c>
      <c r="C325" s="7">
        <v>0.66315299999999999</v>
      </c>
      <c r="D325" s="7">
        <v>0.73205799999999999</v>
      </c>
      <c r="E325" s="7">
        <v>0.71353299999999997</v>
      </c>
      <c r="F325" s="7">
        <v>0.80939899999999998</v>
      </c>
      <c r="G325" s="7">
        <v>0.76624800000000004</v>
      </c>
      <c r="H325" s="7">
        <v>0.71613599999999999</v>
      </c>
      <c r="I325" s="7">
        <v>0.73118399999999995</v>
      </c>
      <c r="J325" s="7">
        <v>0.60515200000000002</v>
      </c>
      <c r="K325" s="7">
        <v>0.566944</v>
      </c>
      <c r="L325" s="7">
        <v>0.59062400000000004</v>
      </c>
      <c r="M325" s="7">
        <v>0.57282299999999997</v>
      </c>
      <c r="N325" s="41">
        <f t="shared" si="12"/>
        <v>8.1429690000000008</v>
      </c>
    </row>
    <row r="326" spans="1:14" ht="12.3" x14ac:dyDescent="0.4">
      <c r="A326" s="5" t="s">
        <v>18</v>
      </c>
      <c r="B326" s="6">
        <v>0.79495334020184505</v>
      </c>
      <c r="C326" s="6">
        <v>0.81415045670500596</v>
      </c>
      <c r="D326" s="6">
        <v>0.83228308389095496</v>
      </c>
      <c r="E326" s="6">
        <v>0.84001723723061295</v>
      </c>
      <c r="F326" s="6">
        <v>0.83829866507344397</v>
      </c>
      <c r="G326" s="6">
        <v>0.82770920966553996</v>
      </c>
      <c r="H326" s="6">
        <v>0.80323095148416201</v>
      </c>
      <c r="I326" s="6">
        <v>0.82824608463788896</v>
      </c>
      <c r="J326" s="6">
        <v>0.73952281404374998</v>
      </c>
      <c r="K326" s="6">
        <v>0.64962599292744505</v>
      </c>
      <c r="L326" s="6">
        <v>0.68627252520255599</v>
      </c>
      <c r="M326" s="6">
        <v>0.73670919356244902</v>
      </c>
      <c r="N326" s="41">
        <f t="shared" si="12"/>
        <v>9.3910195546256521</v>
      </c>
    </row>
    <row r="327" spans="1:14" ht="14.4" x14ac:dyDescent="0.55000000000000004">
      <c r="A327" s="5" t="s">
        <v>19</v>
      </c>
      <c r="B327" s="7">
        <v>0.79855699999999996</v>
      </c>
      <c r="C327" s="7">
        <v>0.81415000000000004</v>
      </c>
      <c r="D327" s="7">
        <v>0.82887999999999995</v>
      </c>
      <c r="E327" s="7">
        <v>0.81073700000000004</v>
      </c>
      <c r="F327" s="7">
        <v>0.83829900000000002</v>
      </c>
      <c r="G327" s="7">
        <v>0.81870299999999996</v>
      </c>
      <c r="H327" s="7">
        <v>0.81174999999999997</v>
      </c>
      <c r="I327" s="7">
        <v>0.70953999999999995</v>
      </c>
      <c r="J327" s="7">
        <v>0.81428900000000004</v>
      </c>
      <c r="K327" s="7">
        <v>0.66626700000000005</v>
      </c>
      <c r="L327" s="7">
        <v>0.65579600000000005</v>
      </c>
      <c r="M327" s="7">
        <v>0.693187</v>
      </c>
      <c r="N327" s="41">
        <f t="shared" si="12"/>
        <v>9.2601549999999992</v>
      </c>
    </row>
    <row r="328" spans="1:14" ht="14.4" x14ac:dyDescent="0.55000000000000004">
      <c r="A328" s="8" t="s">
        <v>100</v>
      </c>
      <c r="B328" s="12">
        <v>0.83</v>
      </c>
      <c r="C328" s="13">
        <v>0</v>
      </c>
      <c r="D328" s="13">
        <v>0.8</v>
      </c>
      <c r="E328" s="13">
        <v>0.8</v>
      </c>
      <c r="F328" s="13">
        <v>0.82</v>
      </c>
      <c r="G328" s="13">
        <v>0.82</v>
      </c>
      <c r="H328" s="13">
        <v>0.79</v>
      </c>
      <c r="I328" s="13">
        <v>0.8</v>
      </c>
      <c r="J328" s="12">
        <v>0.67</v>
      </c>
      <c r="K328" s="12">
        <v>0.72</v>
      </c>
      <c r="L328" s="12">
        <v>0.66</v>
      </c>
      <c r="M328" s="12">
        <v>0.79</v>
      </c>
      <c r="N328" s="41">
        <f t="shared" si="12"/>
        <v>8.5</v>
      </c>
    </row>
    <row r="329" spans="1:14" ht="14.4" x14ac:dyDescent="0.55000000000000004">
      <c r="A329" s="10" t="s">
        <v>106</v>
      </c>
      <c r="B329" s="12">
        <v>0.73392199999999996</v>
      </c>
      <c r="C329" s="13">
        <v>0.822241</v>
      </c>
      <c r="D329" s="13">
        <v>0.79656300000000002</v>
      </c>
      <c r="E329" s="13">
        <v>0.81405300000000003</v>
      </c>
      <c r="F329" s="13">
        <v>0.76042299999999996</v>
      </c>
      <c r="G329" s="13">
        <v>0.81618400000000002</v>
      </c>
      <c r="H329" s="13">
        <v>0.75091799999999997</v>
      </c>
      <c r="I329" s="13">
        <v>0.80979699999999999</v>
      </c>
      <c r="J329" s="12">
        <v>0.71679700000000002</v>
      </c>
      <c r="K329" s="12">
        <v>0.66629700000000003</v>
      </c>
      <c r="L329" s="12">
        <v>0.65127900000000005</v>
      </c>
      <c r="M329" s="12">
        <v>0.71923700000000002</v>
      </c>
      <c r="N329" s="41">
        <f t="shared" si="12"/>
        <v>9.0577109999999994</v>
      </c>
    </row>
    <row r="330" spans="1:14" ht="14.4" x14ac:dyDescent="0.55000000000000004">
      <c r="A330" s="10" t="s">
        <v>107</v>
      </c>
      <c r="B330" s="12">
        <v>0.79495300000000002</v>
      </c>
      <c r="C330" s="13">
        <v>0.822241</v>
      </c>
      <c r="D330" s="13">
        <v>0.832283</v>
      </c>
      <c r="E330" s="13">
        <v>0.84001700000000001</v>
      </c>
      <c r="F330" s="13">
        <v>0.84763699999999997</v>
      </c>
      <c r="G330" s="13">
        <v>0.81618400000000002</v>
      </c>
      <c r="H330" s="13">
        <v>0.78134599999999998</v>
      </c>
      <c r="I330" s="13">
        <v>0.80202099999999998</v>
      </c>
      <c r="J330" s="12">
        <v>0.70953999999999995</v>
      </c>
      <c r="K330" s="12">
        <v>0.75420500000000001</v>
      </c>
      <c r="L330" s="12">
        <v>0.73119699999999999</v>
      </c>
      <c r="M330" s="12">
        <v>0.73636900000000005</v>
      </c>
      <c r="N330" s="41">
        <f t="shared" si="12"/>
        <v>9.4679929999999999</v>
      </c>
    </row>
    <row r="331" spans="1:14" ht="14.4" x14ac:dyDescent="0.55000000000000004">
      <c r="A331" s="10" t="s">
        <v>108</v>
      </c>
      <c r="B331" s="12">
        <v>0.81420800000000004</v>
      </c>
      <c r="C331" s="13">
        <v>0.82186899999999996</v>
      </c>
      <c r="D331" s="13">
        <v>0.83710499999999999</v>
      </c>
      <c r="E331" s="13">
        <v>0.83447800000000005</v>
      </c>
      <c r="F331" s="13">
        <v>0.851518</v>
      </c>
      <c r="G331" s="13">
        <v>0.81516900000000003</v>
      </c>
      <c r="H331" s="13">
        <v>0.75766800000000001</v>
      </c>
      <c r="I331" s="13">
        <v>0.79389600000000005</v>
      </c>
      <c r="J331" s="12">
        <v>0.72483799999999998</v>
      </c>
      <c r="K331" s="12">
        <v>0.698681</v>
      </c>
      <c r="L331" s="12">
        <v>0.74462499999999998</v>
      </c>
      <c r="M331" s="12">
        <v>0.83718999999999999</v>
      </c>
      <c r="N331" s="41">
        <f t="shared" si="12"/>
        <v>9.5312450000000002</v>
      </c>
    </row>
    <row r="332" spans="1:14" ht="14.4" x14ac:dyDescent="0.55000000000000004">
      <c r="A332" s="10" t="s">
        <v>109</v>
      </c>
      <c r="B332" s="12">
        <v>0.79973499999999997</v>
      </c>
      <c r="C332" s="13">
        <v>0.84332200000000002</v>
      </c>
      <c r="D332" s="13">
        <v>0.83911199999999997</v>
      </c>
      <c r="E332" s="13">
        <v>0.84155999999999997</v>
      </c>
      <c r="F332" s="13">
        <v>0.86534599999999995</v>
      </c>
      <c r="G332" s="13">
        <v>0.86468500000000004</v>
      </c>
      <c r="H332" s="13">
        <v>0.78976199999999996</v>
      </c>
      <c r="I332" s="13">
        <v>0.81757299999999999</v>
      </c>
      <c r="J332" s="12">
        <v>0.64347100000000002</v>
      </c>
      <c r="K332" s="12">
        <v>0.72927500000000001</v>
      </c>
      <c r="L332" s="12">
        <v>0.77638600000000002</v>
      </c>
      <c r="M332" s="12">
        <v>0.71929699999999996</v>
      </c>
      <c r="N332" s="41">
        <f t="shared" si="12"/>
        <v>9.5295239999999986</v>
      </c>
    </row>
    <row r="333" spans="1:14" ht="14.4" x14ac:dyDescent="0.55000000000000004">
      <c r="A333" s="10" t="s">
        <v>110</v>
      </c>
      <c r="B333" s="12">
        <v>0.82888300000000004</v>
      </c>
      <c r="C333" s="13">
        <v>0.81986800000000004</v>
      </c>
      <c r="D333" s="13">
        <v>0.82887999999999995</v>
      </c>
      <c r="E333" s="13">
        <v>0.83878600000000003</v>
      </c>
      <c r="F333" s="13">
        <v>0.852715</v>
      </c>
      <c r="G333" s="13">
        <v>0.81516900000000003</v>
      </c>
      <c r="H333" s="13">
        <v>0.74442399999999997</v>
      </c>
      <c r="I333" s="13">
        <v>0.77455600000000002</v>
      </c>
      <c r="J333" s="12">
        <v>0.72404100000000005</v>
      </c>
      <c r="K333" s="12">
        <v>0.68160900000000002</v>
      </c>
      <c r="L333" s="12">
        <v>0.81694100000000003</v>
      </c>
      <c r="M333" s="12">
        <v>0.83111500000000005</v>
      </c>
      <c r="N333" s="41">
        <f t="shared" si="12"/>
        <v>9.5569870000000012</v>
      </c>
    </row>
    <row r="334" spans="1:14" ht="14.4" x14ac:dyDescent="0.55000000000000004">
      <c r="A334" s="10" t="s">
        <v>111</v>
      </c>
      <c r="B334" s="12">
        <v>0.79855699999999996</v>
      </c>
      <c r="C334" s="13">
        <v>0.829376</v>
      </c>
      <c r="D334" s="13">
        <v>0.83652000000000004</v>
      </c>
      <c r="E334" s="13">
        <v>0.83940199999999998</v>
      </c>
      <c r="F334" s="13">
        <v>0.84883299999999995</v>
      </c>
      <c r="G334" s="13">
        <v>0.82818599999999998</v>
      </c>
      <c r="H334" s="13">
        <v>0.798539</v>
      </c>
      <c r="I334" s="13">
        <v>0.81139499999999998</v>
      </c>
      <c r="J334" s="12">
        <v>0.68628599999999995</v>
      </c>
      <c r="K334" s="12">
        <v>0.68986499999999995</v>
      </c>
      <c r="L334" s="12">
        <v>0.77638600000000002</v>
      </c>
      <c r="M334" s="12">
        <v>0.702017</v>
      </c>
      <c r="N334" s="41">
        <f t="shared" si="12"/>
        <v>9.4453619999999994</v>
      </c>
    </row>
    <row r="335" spans="1:14" ht="14.4" x14ac:dyDescent="0.55000000000000004">
      <c r="A335" s="14" t="s">
        <v>112</v>
      </c>
      <c r="B335" s="12">
        <v>0.78637900000000005</v>
      </c>
      <c r="C335" s="13">
        <v>0.84495900000000002</v>
      </c>
      <c r="D335" s="13">
        <v>0.83568600000000004</v>
      </c>
      <c r="E335" s="13">
        <v>0.82853600000000005</v>
      </c>
      <c r="F335" s="13">
        <v>0.86342699999999994</v>
      </c>
      <c r="G335" s="13">
        <v>0.82122200000000001</v>
      </c>
      <c r="H335" s="13">
        <v>0.78639899999999996</v>
      </c>
      <c r="I335" s="13">
        <v>0.80979699999999999</v>
      </c>
      <c r="J335" s="12">
        <v>0.70953999999999995</v>
      </c>
      <c r="K335" s="12">
        <v>0.68293800000000005</v>
      </c>
      <c r="L335" s="12">
        <v>0.61821599999999999</v>
      </c>
      <c r="M335" s="12">
        <v>0.70817600000000003</v>
      </c>
      <c r="N335" s="41">
        <f t="shared" si="12"/>
        <v>9.2952749999999984</v>
      </c>
    </row>
    <row r="336" spans="1:14" ht="14.4" x14ac:dyDescent="0.55000000000000004">
      <c r="A336" s="15" t="s">
        <v>113</v>
      </c>
      <c r="B336" s="12">
        <v>0.79675499999999999</v>
      </c>
      <c r="C336" s="13">
        <v>0.84495900000000002</v>
      </c>
      <c r="D336" s="13">
        <v>0.81806500000000004</v>
      </c>
      <c r="E336" s="13">
        <v>0.81201500000000004</v>
      </c>
      <c r="F336" s="13">
        <v>0.94291800000000003</v>
      </c>
      <c r="G336" s="13">
        <v>0.79250299999999996</v>
      </c>
      <c r="H336" s="13">
        <v>0.78639899999999996</v>
      </c>
      <c r="I336" s="13">
        <v>0.80521799999999999</v>
      </c>
      <c r="J336" s="12">
        <v>0.64347100000000002</v>
      </c>
      <c r="K336" s="12">
        <v>0.72927399999999998</v>
      </c>
      <c r="L336" s="12">
        <v>0.73119699999999999</v>
      </c>
      <c r="M336" s="12">
        <v>0.73670899999999995</v>
      </c>
      <c r="N336" s="41">
        <f t="shared" si="12"/>
        <v>9.439483000000001</v>
      </c>
    </row>
    <row r="337" spans="1:14" ht="14.4" x14ac:dyDescent="0.55000000000000004">
      <c r="A337" s="16" t="s">
        <v>114</v>
      </c>
      <c r="B337" s="12">
        <v>0.79066599999999998</v>
      </c>
      <c r="C337" s="13">
        <v>0.83033199999999996</v>
      </c>
      <c r="D337" s="13">
        <v>0.84053100000000003</v>
      </c>
      <c r="E337" s="13">
        <v>0.80752500000000005</v>
      </c>
      <c r="F337" s="13">
        <v>0.71928700000000001</v>
      </c>
      <c r="G337" s="13">
        <v>0.81870299999999996</v>
      </c>
      <c r="H337" s="13">
        <v>0.81399299999999997</v>
      </c>
      <c r="I337" s="13">
        <v>0.80979699999999999</v>
      </c>
      <c r="J337" s="12">
        <v>0.64328700000000005</v>
      </c>
      <c r="K337" s="12">
        <v>0.72927500000000001</v>
      </c>
      <c r="L337" s="12">
        <v>0.670381</v>
      </c>
      <c r="M337" s="12">
        <v>0.77955200000000002</v>
      </c>
      <c r="N337" s="41">
        <f t="shared" si="12"/>
        <v>9.2533290000000008</v>
      </c>
    </row>
    <row r="338" spans="1:14" ht="14.4" x14ac:dyDescent="0.55000000000000004">
      <c r="A338" s="8" t="s">
        <v>115</v>
      </c>
      <c r="B338" s="12">
        <v>0.79495300000000002</v>
      </c>
      <c r="C338" s="13">
        <v>0.85303300000000004</v>
      </c>
      <c r="D338" s="13">
        <v>0.82887999999999995</v>
      </c>
      <c r="E338" s="13">
        <v>0.84001700000000001</v>
      </c>
      <c r="F338" s="13">
        <v>0.76260899999999998</v>
      </c>
      <c r="G338" s="13">
        <v>0.82122200000000001</v>
      </c>
      <c r="H338" s="13">
        <v>0.78134599999999998</v>
      </c>
      <c r="I338" s="13">
        <v>0.81428900000000004</v>
      </c>
      <c r="J338" s="12">
        <v>0.70953999999999995</v>
      </c>
      <c r="K338" s="12">
        <v>0.748996</v>
      </c>
      <c r="L338" s="12">
        <v>0.73119699999999999</v>
      </c>
      <c r="M338" s="12">
        <v>0.71443599999999996</v>
      </c>
      <c r="N338" s="41">
        <f t="shared" si="12"/>
        <v>9.4005179999999999</v>
      </c>
    </row>
    <row r="339" spans="1:14" ht="14.4" x14ac:dyDescent="0.55000000000000004">
      <c r="A339" s="10" t="s">
        <v>20</v>
      </c>
      <c r="B339" s="12">
        <v>0.78637900000000005</v>
      </c>
      <c r="C339" s="13">
        <v>0.81282799999999999</v>
      </c>
      <c r="D339" s="13">
        <v>0.799485</v>
      </c>
      <c r="E339" s="13">
        <v>0.84001700000000001</v>
      </c>
      <c r="F339" s="13">
        <v>0.82896099999999995</v>
      </c>
      <c r="G339" s="13">
        <v>0.81516900000000003</v>
      </c>
      <c r="H339" s="13">
        <v>0.77629300000000001</v>
      </c>
      <c r="I339" s="13">
        <v>0.80521799999999999</v>
      </c>
      <c r="J339" s="12">
        <v>0.70953999999999995</v>
      </c>
      <c r="K339" s="12">
        <v>0.75941499999999995</v>
      </c>
      <c r="L339" s="12">
        <v>0.73614299999999999</v>
      </c>
      <c r="M339" s="12">
        <v>0.71494800000000003</v>
      </c>
      <c r="N339" s="41">
        <f t="shared" si="12"/>
        <v>9.3843959999999988</v>
      </c>
    </row>
    <row r="340" spans="1:14" ht="14.4" x14ac:dyDescent="0.55000000000000004">
      <c r="A340" s="8" t="s">
        <v>21</v>
      </c>
      <c r="B340" s="12">
        <v>0.79675499999999999</v>
      </c>
      <c r="C340" s="13">
        <v>0.83315399999999995</v>
      </c>
      <c r="D340" s="13">
        <v>0.82887999999999995</v>
      </c>
      <c r="E340" s="13">
        <v>0.81405300000000003</v>
      </c>
      <c r="F340" s="13">
        <v>0.80359599999999998</v>
      </c>
      <c r="G340" s="13">
        <v>0.82122200000000001</v>
      </c>
      <c r="H340" s="13">
        <v>0.81399299999999997</v>
      </c>
      <c r="I340" s="13">
        <v>0.80361899999999997</v>
      </c>
      <c r="J340" s="12">
        <v>0.70953999999999995</v>
      </c>
      <c r="K340" s="12">
        <v>0.70503300000000002</v>
      </c>
      <c r="L340" s="12">
        <v>0.77593900000000005</v>
      </c>
      <c r="M340" s="12">
        <v>0.73670899999999995</v>
      </c>
      <c r="N340" s="41">
        <f t="shared" si="12"/>
        <v>9.4424929999999989</v>
      </c>
    </row>
    <row r="341" spans="1:14" ht="14.4" x14ac:dyDescent="0.55000000000000004">
      <c r="A341" s="8" t="s">
        <v>22</v>
      </c>
      <c r="B341" s="12">
        <v>0.76014999999999999</v>
      </c>
      <c r="C341" s="13">
        <v>0.83315399999999995</v>
      </c>
      <c r="D341" s="13">
        <v>0.84062099999999995</v>
      </c>
      <c r="E341" s="13">
        <v>0.82509699999999997</v>
      </c>
      <c r="F341" s="13">
        <v>0.79973899999999998</v>
      </c>
      <c r="G341" s="13">
        <v>0.781111</v>
      </c>
      <c r="H341" s="13">
        <v>0.80075600000000002</v>
      </c>
      <c r="I341" s="13">
        <v>0.80202099999999998</v>
      </c>
      <c r="J341" s="12">
        <v>0.70953999999999995</v>
      </c>
      <c r="K341" s="12">
        <v>0.66626700000000005</v>
      </c>
      <c r="L341" s="12">
        <v>0.77593900000000005</v>
      </c>
      <c r="M341" s="12">
        <v>0.67845599999999995</v>
      </c>
      <c r="N341" s="41">
        <f t="shared" si="12"/>
        <v>9.2728509999999993</v>
      </c>
    </row>
    <row r="342" spans="1:14" ht="14.4" x14ac:dyDescent="0.55000000000000004">
      <c r="A342" s="45" t="s">
        <v>99</v>
      </c>
      <c r="B342" s="12">
        <v>0.79675499999999999</v>
      </c>
      <c r="C342" s="13">
        <v>0.83315399999999995</v>
      </c>
      <c r="D342" s="13">
        <v>0.82887999999999995</v>
      </c>
      <c r="E342" s="13">
        <v>0.84001700000000001</v>
      </c>
      <c r="F342" s="13">
        <v>0.79973899999999998</v>
      </c>
      <c r="G342" s="13">
        <v>0.82122200000000001</v>
      </c>
      <c r="H342" s="13">
        <v>0.79</v>
      </c>
      <c r="I342" s="13">
        <v>0.80202099999999998</v>
      </c>
      <c r="J342" s="12">
        <v>0.70953999999999995</v>
      </c>
      <c r="K342" s="12">
        <v>0.66629700000000003</v>
      </c>
      <c r="L342" s="12">
        <v>0.65127900000000005</v>
      </c>
      <c r="M342" s="12">
        <v>0.71443599999999996</v>
      </c>
      <c r="N342" s="41">
        <f t="shared" si="12"/>
        <v>9.2533399999999979</v>
      </c>
    </row>
    <row r="343" spans="1:14" ht="14.4" x14ac:dyDescent="0.55000000000000004">
      <c r="A343" s="10" t="s">
        <v>31</v>
      </c>
    </row>
    <row r="348" spans="1:14" ht="30.3" x14ac:dyDescent="1">
      <c r="A348" s="1" t="s">
        <v>70</v>
      </c>
    </row>
    <row r="350" spans="1:14" ht="15" x14ac:dyDescent="0.5">
      <c r="A350" s="2" t="s">
        <v>1</v>
      </c>
    </row>
    <row r="351" spans="1:14" ht="12.3" x14ac:dyDescent="0.4">
      <c r="A351" s="5" t="s">
        <v>13</v>
      </c>
    </row>
    <row r="352" spans="1:14" ht="12.3" x14ac:dyDescent="0.4">
      <c r="A352" s="5" t="s">
        <v>14</v>
      </c>
    </row>
    <row r="353" spans="1:5" ht="12.3" x14ac:dyDescent="0.4">
      <c r="A353" s="5" t="s">
        <v>15</v>
      </c>
    </row>
    <row r="354" spans="1:5" ht="12.3" x14ac:dyDescent="0.4">
      <c r="A354" s="5" t="s">
        <v>16</v>
      </c>
    </row>
    <row r="355" spans="1:5" ht="12.3" x14ac:dyDescent="0.4">
      <c r="A355" s="5" t="s">
        <v>17</v>
      </c>
    </row>
    <row r="356" spans="1:5" ht="12.3" x14ac:dyDescent="0.4">
      <c r="A356" s="5" t="s">
        <v>18</v>
      </c>
    </row>
    <row r="357" spans="1:5" ht="12.3" x14ac:dyDescent="0.4">
      <c r="A357" s="5" t="s">
        <v>19</v>
      </c>
      <c r="B357" s="32" t="s">
        <v>71</v>
      </c>
      <c r="C357" s="32" t="s">
        <v>72</v>
      </c>
      <c r="D357" s="32" t="s">
        <v>73</v>
      </c>
      <c r="E357" s="5" t="s">
        <v>74</v>
      </c>
    </row>
    <row r="358" spans="1:5" ht="14.4" x14ac:dyDescent="0.55000000000000004">
      <c r="A358" s="8" t="s">
        <v>100</v>
      </c>
      <c r="B358" s="33" t="s">
        <v>100</v>
      </c>
      <c r="C358" s="34" t="s">
        <v>75</v>
      </c>
      <c r="D358" s="34" t="s">
        <v>76</v>
      </c>
    </row>
    <row r="359" spans="1:5" ht="14.4" x14ac:dyDescent="0.55000000000000004">
      <c r="A359" s="10" t="s">
        <v>101</v>
      </c>
      <c r="B359" s="35" t="s">
        <v>106</v>
      </c>
      <c r="C359" s="34" t="s">
        <v>77</v>
      </c>
      <c r="D359" s="34" t="s">
        <v>76</v>
      </c>
    </row>
    <row r="360" spans="1:5" ht="14.4" x14ac:dyDescent="0.55000000000000004">
      <c r="A360" s="10" t="s">
        <v>102</v>
      </c>
      <c r="B360" s="35" t="s">
        <v>107</v>
      </c>
      <c r="C360" s="34" t="s">
        <v>77</v>
      </c>
      <c r="D360" s="34" t="s">
        <v>76</v>
      </c>
    </row>
    <row r="361" spans="1:5" ht="14.4" x14ac:dyDescent="0.55000000000000004">
      <c r="A361" s="10" t="s">
        <v>24</v>
      </c>
      <c r="B361" s="35" t="s">
        <v>108</v>
      </c>
      <c r="C361" s="34" t="s">
        <v>78</v>
      </c>
      <c r="D361" s="34" t="s">
        <v>76</v>
      </c>
    </row>
    <row r="362" spans="1:5" ht="14.4" x14ac:dyDescent="0.55000000000000004">
      <c r="A362" s="10" t="s">
        <v>25</v>
      </c>
      <c r="B362" s="35" t="s">
        <v>109</v>
      </c>
      <c r="C362" s="34" t="s">
        <v>79</v>
      </c>
      <c r="D362" s="34" t="s">
        <v>76</v>
      </c>
    </row>
    <row r="363" spans="1:5" ht="14.4" x14ac:dyDescent="0.55000000000000004">
      <c r="A363" s="10" t="s">
        <v>26</v>
      </c>
      <c r="B363" s="35" t="s">
        <v>110</v>
      </c>
      <c r="C363" s="34" t="s">
        <v>80</v>
      </c>
      <c r="D363" s="34" t="s">
        <v>76</v>
      </c>
    </row>
    <row r="364" spans="1:5" ht="14.4" x14ac:dyDescent="0.55000000000000004">
      <c r="A364" s="10" t="s">
        <v>27</v>
      </c>
      <c r="B364" s="35" t="s">
        <v>111</v>
      </c>
      <c r="C364" s="34" t="s">
        <v>81</v>
      </c>
      <c r="D364" s="34" t="s">
        <v>76</v>
      </c>
    </row>
    <row r="365" spans="1:5" ht="12.3" x14ac:dyDescent="0.4">
      <c r="A365" s="14" t="s">
        <v>28</v>
      </c>
      <c r="B365" s="36" t="s">
        <v>112</v>
      </c>
      <c r="C365" s="34" t="s">
        <v>77</v>
      </c>
      <c r="D365" s="34" t="s">
        <v>82</v>
      </c>
    </row>
    <row r="366" spans="1:5" ht="12.3" x14ac:dyDescent="0.4">
      <c r="A366" s="24" t="s">
        <v>103</v>
      </c>
      <c r="B366" s="37" t="s">
        <v>113</v>
      </c>
      <c r="C366" s="34" t="s">
        <v>79</v>
      </c>
      <c r="D366" s="34" t="s">
        <v>76</v>
      </c>
    </row>
    <row r="367" spans="1:5" ht="13.8" x14ac:dyDescent="0.45">
      <c r="A367" s="16" t="s">
        <v>104</v>
      </c>
      <c r="B367" s="38" t="s">
        <v>114</v>
      </c>
      <c r="C367" s="34" t="s">
        <v>75</v>
      </c>
      <c r="D367" s="34" t="s">
        <v>82</v>
      </c>
    </row>
    <row r="368" spans="1:5" ht="14.4" x14ac:dyDescent="0.55000000000000004">
      <c r="A368" s="8" t="s">
        <v>105</v>
      </c>
      <c r="B368" s="33" t="s">
        <v>115</v>
      </c>
      <c r="C368" s="34" t="s">
        <v>83</v>
      </c>
      <c r="D368" s="34" t="s">
        <v>76</v>
      </c>
    </row>
    <row r="369" spans="1:4" ht="14.4" x14ac:dyDescent="0.55000000000000004">
      <c r="A369" s="10" t="s">
        <v>20</v>
      </c>
      <c r="B369" s="33" t="s">
        <v>20</v>
      </c>
      <c r="C369" s="34" t="s">
        <v>75</v>
      </c>
      <c r="D369" s="34" t="s">
        <v>76</v>
      </c>
    </row>
    <row r="370" spans="1:4" ht="14.4" x14ac:dyDescent="0.55000000000000004">
      <c r="A370" s="8" t="s">
        <v>84</v>
      </c>
      <c r="B370" s="33" t="s">
        <v>21</v>
      </c>
      <c r="C370" s="34" t="s">
        <v>85</v>
      </c>
      <c r="D370" s="34" t="s">
        <v>19</v>
      </c>
    </row>
    <row r="371" spans="1:4" ht="14.4" x14ac:dyDescent="0.55000000000000004">
      <c r="A371" s="8" t="s">
        <v>29</v>
      </c>
      <c r="B371" s="33" t="s">
        <v>22</v>
      </c>
      <c r="C371" s="34" t="s">
        <v>85</v>
      </c>
      <c r="D371" s="34" t="s">
        <v>19</v>
      </c>
    </row>
    <row r="372" spans="1:4" ht="14.4" x14ac:dyDescent="0.55000000000000004">
      <c r="A372" s="20" t="s">
        <v>30</v>
      </c>
      <c r="B372" s="33" t="s">
        <v>99</v>
      </c>
      <c r="C372" s="34" t="s">
        <v>86</v>
      </c>
      <c r="D372" s="34" t="s">
        <v>19</v>
      </c>
    </row>
    <row r="373" spans="1:4" ht="14.4" x14ac:dyDescent="0.55000000000000004">
      <c r="A373" s="20"/>
      <c r="B373" s="20"/>
    </row>
    <row r="390" spans="7:33" ht="15.75" customHeight="1" x14ac:dyDescent="0.55000000000000004">
      <c r="L390" s="5" t="s">
        <v>13</v>
      </c>
      <c r="M390" s="5" t="s">
        <v>14</v>
      </c>
      <c r="N390" s="5" t="s">
        <v>15</v>
      </c>
      <c r="O390" s="5" t="s">
        <v>16</v>
      </c>
      <c r="P390" s="5" t="s">
        <v>17</v>
      </c>
      <c r="Q390" s="5" t="s">
        <v>18</v>
      </c>
      <c r="R390" s="5" t="s">
        <v>19</v>
      </c>
      <c r="S390" s="8" t="s">
        <v>100</v>
      </c>
      <c r="T390" s="10" t="s">
        <v>106</v>
      </c>
      <c r="U390" s="10" t="s">
        <v>107</v>
      </c>
      <c r="V390" s="10" t="s">
        <v>108</v>
      </c>
      <c r="W390" s="10" t="s">
        <v>109</v>
      </c>
      <c r="X390" s="10" t="s">
        <v>110</v>
      </c>
      <c r="Y390" s="10" t="s">
        <v>111</v>
      </c>
      <c r="Z390" s="14" t="s">
        <v>112</v>
      </c>
      <c r="AA390" s="15" t="s">
        <v>113</v>
      </c>
      <c r="AB390" s="16" t="s">
        <v>114</v>
      </c>
      <c r="AC390" s="8" t="s">
        <v>115</v>
      </c>
      <c r="AD390" s="10" t="s">
        <v>20</v>
      </c>
      <c r="AE390" s="8" t="s">
        <v>21</v>
      </c>
      <c r="AF390" s="8" t="s">
        <v>22</v>
      </c>
      <c r="AG390" s="20" t="s">
        <v>99</v>
      </c>
    </row>
    <row r="391" spans="7:33" ht="15.75" customHeight="1" x14ac:dyDescent="0.55000000000000004">
      <c r="L391" s="6">
        <v>0.25927164897861499</v>
      </c>
      <c r="M391" s="6">
        <v>0.53092639168142197</v>
      </c>
      <c r="N391" s="6">
        <v>0.31077497666348503</v>
      </c>
      <c r="O391" s="6">
        <v>0.585404649096948</v>
      </c>
      <c r="P391" s="7">
        <v>0.43057000000000001</v>
      </c>
      <c r="Q391" s="6">
        <v>0.43341822150738302</v>
      </c>
      <c r="R391" s="7">
        <v>0.59593799999999997</v>
      </c>
      <c r="S391" s="7">
        <v>0.52657900000000002</v>
      </c>
      <c r="T391" s="11">
        <v>0.31903399999999998</v>
      </c>
      <c r="U391" s="11">
        <v>0.54800099999999996</v>
      </c>
      <c r="V391" s="11">
        <v>9.5880000000000007E-2</v>
      </c>
      <c r="W391" s="11">
        <v>0.13065499999999999</v>
      </c>
      <c r="X391" s="11">
        <v>0.135189</v>
      </c>
      <c r="Y391" s="12">
        <v>0.16128799999999999</v>
      </c>
      <c r="Z391" s="12">
        <v>0.47873599999999999</v>
      </c>
      <c r="AA391" s="12">
        <v>0.203983</v>
      </c>
      <c r="AB391" s="12">
        <v>0.52093699999999998</v>
      </c>
      <c r="AC391" s="12">
        <v>0.49482500000000001</v>
      </c>
      <c r="AD391" s="12">
        <v>0.47131000000000001</v>
      </c>
      <c r="AE391" s="17">
        <v>0.40696199999999999</v>
      </c>
      <c r="AF391" s="12">
        <v>0.32301400000000002</v>
      </c>
      <c r="AG391" s="21">
        <v>0.40696199999999999</v>
      </c>
    </row>
    <row r="392" spans="7:33" ht="15.75" customHeight="1" x14ac:dyDescent="0.55000000000000004">
      <c r="L392" s="6">
        <v>0.37367369601359302</v>
      </c>
      <c r="M392" s="6">
        <v>0.444586912840707</v>
      </c>
      <c r="N392" s="6">
        <v>0.257112611084444</v>
      </c>
      <c r="O392" s="6">
        <v>0.43466102569959703</v>
      </c>
      <c r="P392" s="7">
        <v>0.37518600000000002</v>
      </c>
      <c r="Q392" s="6">
        <v>0.48755074710835999</v>
      </c>
      <c r="R392" s="7">
        <v>0.47907699999999998</v>
      </c>
      <c r="S392" s="7">
        <v>0</v>
      </c>
      <c r="T392" s="11">
        <v>0.33743600000000001</v>
      </c>
      <c r="U392" s="11">
        <v>0.41398600000000002</v>
      </c>
      <c r="V392" s="11">
        <v>0.166939</v>
      </c>
      <c r="W392" s="11">
        <v>0.16766500000000001</v>
      </c>
      <c r="X392" s="11">
        <v>0.16394</v>
      </c>
      <c r="Y392" s="12">
        <v>0.16831299999999999</v>
      </c>
      <c r="Z392" s="12">
        <v>0.33334900000000001</v>
      </c>
      <c r="AA392" s="12">
        <v>0.23699400000000001</v>
      </c>
      <c r="AB392" s="12">
        <v>0.48976599999999998</v>
      </c>
      <c r="AC392" s="12">
        <v>0.32907900000000001</v>
      </c>
      <c r="AD392" s="12">
        <v>0.397422</v>
      </c>
      <c r="AE392" s="19">
        <v>0.415877</v>
      </c>
      <c r="AF392" s="12">
        <v>0.34066600000000002</v>
      </c>
      <c r="AG392" s="22">
        <v>0.415877</v>
      </c>
    </row>
    <row r="393" spans="7:33" ht="15.75" customHeight="1" x14ac:dyDescent="0.55000000000000004">
      <c r="L393" s="6">
        <v>0.415120063292368</v>
      </c>
      <c r="M393" s="6">
        <v>0.49235310978310898</v>
      </c>
      <c r="N393" s="6">
        <v>0.20669618095342199</v>
      </c>
      <c r="O393" s="6">
        <v>0.43192968577353003</v>
      </c>
      <c r="P393" s="7">
        <v>0.37482199999999999</v>
      </c>
      <c r="Q393" s="6">
        <v>0.41787300425477403</v>
      </c>
      <c r="R393" s="7">
        <v>0.43598799999999999</v>
      </c>
      <c r="S393" s="7">
        <v>0.42979400000000001</v>
      </c>
      <c r="T393" s="11">
        <v>0.38785999999999998</v>
      </c>
      <c r="U393" s="11">
        <v>0.47389100000000001</v>
      </c>
      <c r="V393" s="11">
        <v>0.15069099999999999</v>
      </c>
      <c r="W393" s="11">
        <v>0.16031699999999999</v>
      </c>
      <c r="X393" s="11">
        <v>0.15063399999999999</v>
      </c>
      <c r="Y393" s="12">
        <v>0.156723</v>
      </c>
      <c r="Z393" s="12">
        <v>0.44914500000000002</v>
      </c>
      <c r="AA393" s="12">
        <v>7.6691999999999996E-2</v>
      </c>
      <c r="AB393" s="12">
        <v>0.46866999999999998</v>
      </c>
      <c r="AC393" s="12">
        <v>0.49924600000000002</v>
      </c>
      <c r="AD393" s="12">
        <v>0.48116199999999998</v>
      </c>
      <c r="AE393" s="17">
        <v>0.531725</v>
      </c>
      <c r="AF393" s="12">
        <v>0.48981400000000003</v>
      </c>
      <c r="AG393" s="22">
        <v>0.531725</v>
      </c>
    </row>
    <row r="394" spans="7:33" ht="15.75" customHeight="1" x14ac:dyDescent="0.55000000000000004">
      <c r="L394" s="6">
        <v>0.32629475393824298</v>
      </c>
      <c r="M394" s="6">
        <v>0.46124043947947302</v>
      </c>
      <c r="N394" s="6">
        <v>0.211245919979618</v>
      </c>
      <c r="O394" s="6">
        <v>0.42931665457645302</v>
      </c>
      <c r="P394" s="7">
        <v>0.40242099999999997</v>
      </c>
      <c r="Q394" s="6">
        <v>0.51408600416207895</v>
      </c>
      <c r="R394" s="7">
        <v>0.37124600000000002</v>
      </c>
      <c r="S394" s="7">
        <v>0.47319</v>
      </c>
      <c r="T394" s="11">
        <v>0.451764</v>
      </c>
      <c r="U394" s="11">
        <v>0.60303799999999996</v>
      </c>
      <c r="V394" s="11">
        <v>0.14662</v>
      </c>
      <c r="W394" s="11">
        <v>0.15262200000000001</v>
      </c>
      <c r="X394" s="11">
        <v>0.13905899999999999</v>
      </c>
      <c r="Y394" s="12">
        <v>0.15137600000000001</v>
      </c>
      <c r="Z394" s="12">
        <v>0.49819400000000003</v>
      </c>
      <c r="AA394" s="12">
        <v>8.1236000000000003E-2</v>
      </c>
      <c r="AB394" s="12">
        <v>0.41810900000000001</v>
      </c>
      <c r="AC394" s="17">
        <v>0.516791</v>
      </c>
      <c r="AD394" s="12">
        <v>0.383963</v>
      </c>
      <c r="AE394" s="12">
        <v>0.31445899999999999</v>
      </c>
      <c r="AF394" s="12">
        <v>0.34084399999999998</v>
      </c>
      <c r="AG394" s="22">
        <v>0.516791</v>
      </c>
    </row>
    <row r="395" spans="7:33" ht="15.75" customHeight="1" x14ac:dyDescent="0.55000000000000004">
      <c r="L395" s="6">
        <v>0.30415141548833302</v>
      </c>
      <c r="M395" s="6">
        <v>0.32711761410718199</v>
      </c>
      <c r="N395" s="6">
        <v>0.20273962591552</v>
      </c>
      <c r="O395" s="6">
        <v>0.38516539303841402</v>
      </c>
      <c r="P395" s="7">
        <v>0.30031200000000002</v>
      </c>
      <c r="Q395" s="6">
        <v>0.42587598447171998</v>
      </c>
      <c r="R395" s="7">
        <v>0.41147899999999998</v>
      </c>
      <c r="S395" s="7">
        <v>0.40460800000000002</v>
      </c>
      <c r="T395" s="11">
        <v>0.43754700000000002</v>
      </c>
      <c r="U395" s="11">
        <v>0.406393</v>
      </c>
      <c r="V395" s="11">
        <v>0.17141899999999999</v>
      </c>
      <c r="W395" s="11">
        <v>0.10676099999999999</v>
      </c>
      <c r="X395" s="11">
        <v>0.156775</v>
      </c>
      <c r="Y395" s="12">
        <v>0.183368</v>
      </c>
      <c r="Z395" s="12">
        <v>0.54228200000000004</v>
      </c>
      <c r="AA395" s="12">
        <v>-2.164E-2</v>
      </c>
      <c r="AB395" s="12">
        <v>0.31986999999999999</v>
      </c>
      <c r="AC395" s="12">
        <v>0.32839499999999999</v>
      </c>
      <c r="AD395" s="12">
        <v>0.394563</v>
      </c>
      <c r="AE395" s="12">
        <v>0.33756199999999997</v>
      </c>
      <c r="AF395" s="17">
        <v>0.42769299999999999</v>
      </c>
      <c r="AG395" s="22">
        <v>0.42769299999999999</v>
      </c>
    </row>
    <row r="396" spans="7:33" ht="14.4" x14ac:dyDescent="0.55000000000000004">
      <c r="G396" s="12">
        <v>0.40696199999999999</v>
      </c>
      <c r="L396" s="6">
        <v>0.22982204685136901</v>
      </c>
      <c r="M396" s="6">
        <v>0.32673499915390802</v>
      </c>
      <c r="N396" s="6">
        <v>0.171883361121973</v>
      </c>
      <c r="O396" s="6">
        <v>0.50740516991162499</v>
      </c>
      <c r="P396" s="7">
        <v>0.206067</v>
      </c>
      <c r="Q396" s="6">
        <v>0.379594529123847</v>
      </c>
      <c r="R396" s="7">
        <v>0.39490500000000001</v>
      </c>
      <c r="S396" s="7">
        <v>0.38750800000000002</v>
      </c>
      <c r="T396" s="11">
        <v>0.35050700000000001</v>
      </c>
      <c r="U396" s="11">
        <v>0.385745</v>
      </c>
      <c r="V396" s="11">
        <v>0.138987</v>
      </c>
      <c r="W396" s="11">
        <v>0.20189499999999999</v>
      </c>
      <c r="X396" s="11">
        <v>0.153277</v>
      </c>
      <c r="Y396" s="12">
        <v>0.172849</v>
      </c>
      <c r="Z396" s="12">
        <v>0.38065599999999999</v>
      </c>
      <c r="AA396" s="12">
        <v>0.327824</v>
      </c>
      <c r="AB396" s="12">
        <v>0.39448699999999998</v>
      </c>
      <c r="AC396" s="12">
        <v>0.37195099999999998</v>
      </c>
      <c r="AD396" s="12">
        <v>0.37726900000000002</v>
      </c>
      <c r="AE396" s="17">
        <v>0.374357</v>
      </c>
      <c r="AF396" s="12">
        <v>0.28515200000000002</v>
      </c>
      <c r="AG396" s="22">
        <v>0.374357</v>
      </c>
    </row>
    <row r="397" spans="7:33" ht="14.4" x14ac:dyDescent="0.55000000000000004">
      <c r="G397" s="12">
        <v>0.43784400000000001</v>
      </c>
      <c r="L397" s="6">
        <v>0.37801906961704201</v>
      </c>
      <c r="M397" s="6">
        <v>0.48677490600343398</v>
      </c>
      <c r="N397" s="6">
        <v>0.26287716341885498</v>
      </c>
      <c r="O397" s="6">
        <v>0.29513126891782498</v>
      </c>
      <c r="P397" s="7">
        <v>0.37687599999999999</v>
      </c>
      <c r="Q397" s="6">
        <v>0.60209877082952801</v>
      </c>
      <c r="R397" s="7">
        <v>0.58116599999999996</v>
      </c>
      <c r="S397" s="9">
        <v>0.59926000000000001</v>
      </c>
      <c r="T397" s="11">
        <v>0.64410400000000001</v>
      </c>
      <c r="U397" s="11">
        <v>0.607155</v>
      </c>
      <c r="V397" s="11">
        <v>0.17618600000000001</v>
      </c>
      <c r="W397" s="11">
        <v>0.13755000000000001</v>
      </c>
      <c r="X397" s="11">
        <v>8.5948999999999998E-2</v>
      </c>
      <c r="Y397" s="12">
        <v>0.15840499999999999</v>
      </c>
      <c r="Z397" s="12">
        <v>0.58910399999999996</v>
      </c>
      <c r="AA397" s="12">
        <v>0.56433</v>
      </c>
      <c r="AB397" s="12">
        <v>0.54814499999999999</v>
      </c>
      <c r="AC397" s="13">
        <v>0.60343199999999997</v>
      </c>
      <c r="AD397" s="12">
        <v>0.46800700000000001</v>
      </c>
      <c r="AE397" s="12">
        <v>0.43853300000000001</v>
      </c>
      <c r="AF397" s="12">
        <v>0.82827099999999998</v>
      </c>
      <c r="AG397" s="21">
        <v>0.59926000000000001</v>
      </c>
    </row>
    <row r="398" spans="7:33" ht="14.4" x14ac:dyDescent="0.55000000000000004">
      <c r="G398" s="12">
        <v>0.531725</v>
      </c>
      <c r="L398" s="6">
        <v>0.381528101607857</v>
      </c>
      <c r="M398" s="6">
        <v>0.49810993193034903</v>
      </c>
      <c r="N398" s="6">
        <v>0.27772180474119201</v>
      </c>
      <c r="O398" s="6">
        <v>0.53625335330305102</v>
      </c>
      <c r="P398" s="7">
        <v>0.50551900000000005</v>
      </c>
      <c r="Q398" s="6">
        <v>0.60516523423292501</v>
      </c>
      <c r="R398" s="7">
        <v>0.63449900000000004</v>
      </c>
      <c r="S398" s="7">
        <v>0.62194000000000005</v>
      </c>
      <c r="T398" s="11">
        <v>0.64088100000000003</v>
      </c>
      <c r="U398" s="11">
        <v>0.591692</v>
      </c>
      <c r="V398" s="11">
        <v>6.9237000000000007E-2</v>
      </c>
      <c r="W398" s="11">
        <v>9.9644999999999997E-2</v>
      </c>
      <c r="X398" s="11">
        <v>1.4813E-2</v>
      </c>
      <c r="Y398" s="12">
        <v>0.162551</v>
      </c>
      <c r="Z398" s="12">
        <v>0.59336199999999995</v>
      </c>
      <c r="AA398" s="12">
        <v>0.59923400000000004</v>
      </c>
      <c r="AB398" s="12">
        <v>0.61077300000000001</v>
      </c>
      <c r="AC398" s="13">
        <v>0.615815</v>
      </c>
      <c r="AD398" s="12">
        <v>0.733985</v>
      </c>
      <c r="AE398" s="12">
        <v>0.59107699999999996</v>
      </c>
      <c r="AF398" s="17">
        <v>0.51103600000000005</v>
      </c>
      <c r="AG398" s="21">
        <v>0.51103600000000005</v>
      </c>
    </row>
    <row r="399" spans="7:33" ht="14.4" x14ac:dyDescent="0.55000000000000004">
      <c r="G399" s="12">
        <v>0.516791</v>
      </c>
      <c r="L399" s="6">
        <v>0.50990091747229005</v>
      </c>
      <c r="M399" s="6">
        <v>0.58806679086480795</v>
      </c>
      <c r="N399" s="6">
        <v>0.34665472163088701</v>
      </c>
      <c r="O399" s="6">
        <v>0.50654520521076096</v>
      </c>
      <c r="P399" s="7">
        <v>0.48280499999999998</v>
      </c>
      <c r="Q399" s="6">
        <v>0.63269951896955701</v>
      </c>
      <c r="R399" s="7">
        <v>0.644451</v>
      </c>
      <c r="S399" s="7">
        <v>0.66126600000000002</v>
      </c>
      <c r="T399" s="11">
        <v>0.60730600000000001</v>
      </c>
      <c r="U399" s="11">
        <v>0.62080800000000003</v>
      </c>
      <c r="V399" s="11">
        <v>6.4295000000000005E-2</v>
      </c>
      <c r="W399" s="11">
        <v>0.18057699999999999</v>
      </c>
      <c r="X399" s="11">
        <v>0.134302</v>
      </c>
      <c r="Y399" s="12">
        <v>0.241228</v>
      </c>
      <c r="Z399" s="12">
        <v>0.60202500000000003</v>
      </c>
      <c r="AA399" s="12">
        <v>0.18057699999999999</v>
      </c>
      <c r="AB399" s="12">
        <v>0.44026300000000002</v>
      </c>
      <c r="AC399" s="13">
        <v>0.654034</v>
      </c>
      <c r="AD399" s="12">
        <v>0.66135299999999997</v>
      </c>
      <c r="AE399" s="17">
        <v>0.67424700000000004</v>
      </c>
      <c r="AF399" s="12">
        <v>0.43251299999999998</v>
      </c>
      <c r="AG399" s="21">
        <v>0.67424700000000004</v>
      </c>
    </row>
    <row r="400" spans="7:33" ht="14.4" x14ac:dyDescent="0.55000000000000004">
      <c r="G400" s="12">
        <v>0.42769299999999999</v>
      </c>
      <c r="L400" s="6">
        <v>0.449417568277163</v>
      </c>
      <c r="M400" s="6">
        <v>0.43391515873035602</v>
      </c>
      <c r="N400" s="6">
        <v>0.33976310583927799</v>
      </c>
      <c r="O400" s="6">
        <v>0.54265419629825395</v>
      </c>
      <c r="P400" s="7">
        <v>0.412796</v>
      </c>
      <c r="Q400" s="6">
        <v>0.42904632702234702</v>
      </c>
      <c r="R400" s="7">
        <v>0.53356899999999996</v>
      </c>
      <c r="S400" s="9">
        <v>0.59170599999999995</v>
      </c>
      <c r="T400" s="11">
        <v>0.439805</v>
      </c>
      <c r="U400" s="11">
        <v>0.46113999999999999</v>
      </c>
      <c r="V400" s="11">
        <v>0.11880400000000001</v>
      </c>
      <c r="W400" s="11">
        <v>0.22972000000000001</v>
      </c>
      <c r="X400" s="11">
        <v>0.13140099999999999</v>
      </c>
      <c r="Y400" s="13">
        <v>0.205261</v>
      </c>
      <c r="Z400" s="12">
        <v>0.444046</v>
      </c>
      <c r="AA400" s="12">
        <v>0.32062499999999999</v>
      </c>
      <c r="AB400" s="12">
        <v>0.427315</v>
      </c>
      <c r="AC400" s="13">
        <v>0.58416199999999996</v>
      </c>
      <c r="AD400" s="12">
        <v>0.54572600000000004</v>
      </c>
      <c r="AE400" s="12">
        <v>0.36371500000000001</v>
      </c>
      <c r="AF400" s="12">
        <v>0.29630800000000002</v>
      </c>
      <c r="AG400" s="21">
        <v>0.59170599999999995</v>
      </c>
    </row>
    <row r="401" spans="2:33" ht="14.4" x14ac:dyDescent="0.55000000000000004">
      <c r="G401" s="12">
        <v>0.374357</v>
      </c>
      <c r="L401" s="6">
        <v>0.43627072219624702</v>
      </c>
      <c r="M401" s="6">
        <v>0.522103404143618</v>
      </c>
      <c r="N401" s="6">
        <v>0.25279136707393302</v>
      </c>
      <c r="O401" s="6">
        <v>0.56602542886982699</v>
      </c>
      <c r="P401" s="7">
        <v>0.39316800000000002</v>
      </c>
      <c r="Q401" s="6">
        <v>0.48403610056781399</v>
      </c>
      <c r="R401" s="7">
        <v>0.55482399999999998</v>
      </c>
      <c r="S401" s="9">
        <v>0.47311300000000001</v>
      </c>
      <c r="T401" s="11">
        <v>0.47137400000000002</v>
      </c>
      <c r="U401" s="11">
        <v>0.57724900000000001</v>
      </c>
      <c r="V401" s="11">
        <v>0.11852500000000001</v>
      </c>
      <c r="W401" s="11">
        <v>0.122875</v>
      </c>
      <c r="X401" s="11">
        <v>0.14218600000000001</v>
      </c>
      <c r="Y401" s="13">
        <v>0.161385</v>
      </c>
      <c r="Z401" s="12">
        <v>0.41503800000000002</v>
      </c>
      <c r="AA401" s="12">
        <v>0.28939900000000002</v>
      </c>
      <c r="AB401" s="12">
        <v>0.46379700000000001</v>
      </c>
      <c r="AC401" s="13">
        <v>0.55085099999999998</v>
      </c>
      <c r="AD401" s="12">
        <v>0.45666600000000002</v>
      </c>
      <c r="AE401" s="12">
        <v>0.33943299999999998</v>
      </c>
      <c r="AF401" s="12">
        <v>0.48085099999999997</v>
      </c>
      <c r="AG401" s="21">
        <v>0.47311300000000001</v>
      </c>
    </row>
    <row r="402" spans="2:33" ht="14.4" x14ac:dyDescent="0.55000000000000004">
      <c r="G402" s="12">
        <v>0.59926000000000001</v>
      </c>
      <c r="L402" s="6">
        <v>0.39246902785822102</v>
      </c>
      <c r="M402" s="6">
        <v>0.48594850730946099</v>
      </c>
      <c r="N402" s="6">
        <v>0.28898047122246701</v>
      </c>
      <c r="O402" s="6">
        <v>0.50526777798958</v>
      </c>
      <c r="P402" s="7">
        <v>0.32176199999999999</v>
      </c>
      <c r="Q402" s="6">
        <v>0.56585697347747899</v>
      </c>
      <c r="R402" s="7">
        <v>0.64329199999999997</v>
      </c>
      <c r="S402" s="7">
        <v>0.63705999999999996</v>
      </c>
      <c r="T402" s="11">
        <v>0.47849700000000001</v>
      </c>
      <c r="U402" s="11">
        <v>0.63368899999999995</v>
      </c>
      <c r="V402" s="11">
        <v>0.13002</v>
      </c>
      <c r="W402" s="11">
        <v>0.219109</v>
      </c>
      <c r="X402" s="11">
        <v>0.12195300000000001</v>
      </c>
      <c r="Y402" s="13">
        <v>0.152755</v>
      </c>
      <c r="Z402" s="12">
        <v>0.41827199999999998</v>
      </c>
      <c r="AA402" s="12">
        <v>0.29688500000000001</v>
      </c>
      <c r="AB402" s="12">
        <v>0.63714599999999999</v>
      </c>
      <c r="AC402" s="18">
        <v>0.52450699999999995</v>
      </c>
      <c r="AD402" s="12">
        <v>0.42496299999999998</v>
      </c>
      <c r="AE402" s="12">
        <v>0.21218799999999999</v>
      </c>
      <c r="AF402" s="12">
        <v>0.239229</v>
      </c>
      <c r="AG402" s="21">
        <v>0.52450699999999995</v>
      </c>
    </row>
    <row r="403" spans="2:33" ht="14.4" x14ac:dyDescent="0.55000000000000004">
      <c r="G403" s="12">
        <v>0.51103600000000005</v>
      </c>
    </row>
    <row r="404" spans="2:33" ht="14.4" x14ac:dyDescent="0.55000000000000004">
      <c r="G404" s="12">
        <v>0.67424700000000004</v>
      </c>
    </row>
    <row r="405" spans="2:33" ht="14.4" x14ac:dyDescent="0.55000000000000004">
      <c r="B405" s="12">
        <v>0.483927</v>
      </c>
      <c r="D405" s="12">
        <v>0.13065499999999999</v>
      </c>
      <c r="G405" s="12">
        <v>0.59170599999999995</v>
      </c>
    </row>
    <row r="406" spans="2:33" ht="14.4" x14ac:dyDescent="0.55000000000000004">
      <c r="B406" s="12">
        <v>0.43784400000000001</v>
      </c>
      <c r="D406" s="12">
        <v>0.16766500000000001</v>
      </c>
      <c r="F406" s="12">
        <v>0.40696199999999999</v>
      </c>
      <c r="G406" s="12">
        <v>0.64530799999999999</v>
      </c>
      <c r="I406" s="12">
        <v>0.40696199999999999</v>
      </c>
    </row>
    <row r="407" spans="2:33" ht="14.4" x14ac:dyDescent="0.55000000000000004">
      <c r="B407" s="12">
        <v>0.46373900000000001</v>
      </c>
      <c r="D407" s="12">
        <v>0.16031699999999999</v>
      </c>
      <c r="F407" s="12">
        <v>0.34066600000000002</v>
      </c>
      <c r="G407" s="12">
        <v>0.52450699999999995</v>
      </c>
      <c r="I407" s="12">
        <v>0.34066600000000002</v>
      </c>
    </row>
    <row r="408" spans="2:33" ht="14.4" x14ac:dyDescent="0.55000000000000004">
      <c r="B408" s="12">
        <v>0.55328200000000005</v>
      </c>
      <c r="D408" s="12">
        <v>0.15262200000000001</v>
      </c>
      <c r="F408" s="12">
        <v>0.48981400000000003</v>
      </c>
      <c r="I408" s="12">
        <v>0.44914500000000002</v>
      </c>
    </row>
    <row r="409" spans="2:33" ht="14.4" x14ac:dyDescent="0.55000000000000004">
      <c r="B409" s="12">
        <v>0.404557</v>
      </c>
      <c r="D409" s="12">
        <v>0.10676099999999999</v>
      </c>
      <c r="F409" s="12">
        <v>0.34084399999999998</v>
      </c>
      <c r="I409" s="12">
        <v>0.34084399999999998</v>
      </c>
    </row>
    <row r="410" spans="2:33" ht="14.4" x14ac:dyDescent="0.55000000000000004">
      <c r="B410" s="12">
        <v>0.34064</v>
      </c>
      <c r="D410" s="12">
        <v>0.20189499999999999</v>
      </c>
      <c r="F410" s="12">
        <v>0.42769299999999999</v>
      </c>
      <c r="I410" s="12">
        <v>0.42769299999999999</v>
      </c>
    </row>
    <row r="411" spans="2:33" ht="14.4" x14ac:dyDescent="0.55000000000000004">
      <c r="B411" s="12">
        <v>0.60994999999999999</v>
      </c>
      <c r="D411" s="12">
        <v>0.13755000000000001</v>
      </c>
      <c r="F411" s="12">
        <v>0.374357</v>
      </c>
      <c r="I411" s="12">
        <v>0.374357</v>
      </c>
    </row>
    <row r="412" spans="2:33" ht="14.4" x14ac:dyDescent="0.55000000000000004">
      <c r="B412" s="12">
        <v>0.64077799999999996</v>
      </c>
      <c r="D412" s="12">
        <v>9.9644999999999997E-2</v>
      </c>
      <c r="F412" s="12">
        <v>0.60343199999999997</v>
      </c>
      <c r="I412" s="12">
        <v>0.58910399999999996</v>
      </c>
    </row>
    <row r="413" spans="2:33" ht="14.4" x14ac:dyDescent="0.55000000000000004">
      <c r="B413" s="12">
        <v>0.54983800000000005</v>
      </c>
      <c r="D413" s="12">
        <v>0.18057699999999999</v>
      </c>
      <c r="F413" s="12">
        <v>0.51103600000000005</v>
      </c>
      <c r="I413" s="12">
        <v>0.51103600000000005</v>
      </c>
    </row>
    <row r="414" spans="2:33" ht="14.4" x14ac:dyDescent="0.55000000000000004">
      <c r="B414" s="12">
        <v>0.57480699999999996</v>
      </c>
      <c r="D414" s="12">
        <v>0.22972000000000001</v>
      </c>
      <c r="F414" s="12">
        <v>0.67424700000000004</v>
      </c>
      <c r="I414" s="12">
        <v>0.67424700000000004</v>
      </c>
    </row>
    <row r="415" spans="2:33" ht="14.4" x14ac:dyDescent="0.55000000000000004">
      <c r="B415" s="12">
        <v>0.64530799999999999</v>
      </c>
      <c r="D415" s="12">
        <v>0.122875</v>
      </c>
      <c r="F415" s="12">
        <v>0.58416199999999996</v>
      </c>
      <c r="I415" s="12">
        <v>0.58416199999999996</v>
      </c>
    </row>
    <row r="416" spans="2:33" ht="14.4" x14ac:dyDescent="0.55000000000000004">
      <c r="B416" s="12">
        <v>0.63670000000000004</v>
      </c>
      <c r="D416" s="12">
        <v>0.219109</v>
      </c>
      <c r="F416" s="12">
        <v>0.48085099999999997</v>
      </c>
      <c r="I416" s="12">
        <v>0.48085099999999997</v>
      </c>
    </row>
    <row r="417" spans="1:12" ht="14.4" x14ac:dyDescent="0.55000000000000004">
      <c r="F417" s="12">
        <v>0.52450699999999995</v>
      </c>
      <c r="I417" s="12">
        <v>0.52450699999999995</v>
      </c>
    </row>
    <row r="420" spans="1:12" ht="14.4" x14ac:dyDescent="0.55000000000000004">
      <c r="D420" s="12">
        <v>0.16128799999999999</v>
      </c>
    </row>
    <row r="421" spans="1:12" ht="14.4" x14ac:dyDescent="0.55000000000000004">
      <c r="D421" s="12">
        <v>0.16831299999999999</v>
      </c>
    </row>
    <row r="422" spans="1:12" ht="14.4" x14ac:dyDescent="0.55000000000000004">
      <c r="D422" s="12">
        <v>0.156723</v>
      </c>
    </row>
    <row r="423" spans="1:12" ht="14.4" x14ac:dyDescent="0.55000000000000004">
      <c r="D423" s="12">
        <v>0.15137600000000001</v>
      </c>
      <c r="F423" s="12">
        <v>0.49482500000000001</v>
      </c>
    </row>
    <row r="424" spans="1:12" ht="14.4" x14ac:dyDescent="0.55000000000000004">
      <c r="B424" s="12">
        <v>0.31903399999999998</v>
      </c>
      <c r="D424" s="12">
        <v>0.183368</v>
      </c>
      <c r="F424" s="12">
        <v>0.32907900000000001</v>
      </c>
    </row>
    <row r="425" spans="1:12" ht="14.4" x14ac:dyDescent="0.55000000000000004">
      <c r="B425" s="12">
        <v>0.33743600000000001</v>
      </c>
      <c r="D425" s="12">
        <v>0.172849</v>
      </c>
      <c r="F425" s="12">
        <v>0.49924600000000002</v>
      </c>
    </row>
    <row r="426" spans="1:12" ht="14.4" x14ac:dyDescent="0.55000000000000004">
      <c r="B426" s="12">
        <v>0.38785999999999998</v>
      </c>
      <c r="D426" s="12">
        <v>0.15840499999999999</v>
      </c>
      <c r="F426" s="12">
        <v>0.516791</v>
      </c>
      <c r="H426" s="12">
        <v>0.32301400000000002</v>
      </c>
    </row>
    <row r="427" spans="1:12" ht="14.4" x14ac:dyDescent="0.55000000000000004">
      <c r="B427" s="12">
        <v>0.451764</v>
      </c>
      <c r="D427" s="12">
        <v>0.162551</v>
      </c>
      <c r="F427" s="12">
        <v>0.32839499999999999</v>
      </c>
      <c r="H427" s="12">
        <v>0.415877</v>
      </c>
    </row>
    <row r="428" spans="1:12" ht="14.4" x14ac:dyDescent="0.55000000000000004">
      <c r="A428" s="39"/>
      <c r="B428" s="12">
        <v>0.43754700000000002</v>
      </c>
      <c r="C428" s="10"/>
      <c r="D428" s="12">
        <v>0.241228</v>
      </c>
      <c r="E428" s="10"/>
      <c r="F428" s="12">
        <v>0.37195099999999998</v>
      </c>
      <c r="G428" s="10"/>
      <c r="H428" s="12">
        <v>0.531725</v>
      </c>
      <c r="I428" s="10"/>
      <c r="J428" s="10"/>
      <c r="K428" s="10"/>
      <c r="L428" s="10"/>
    </row>
    <row r="429" spans="1:12" ht="14.4" x14ac:dyDescent="0.55000000000000004">
      <c r="A429" s="40"/>
      <c r="B429" s="13">
        <v>0.35050700000000001</v>
      </c>
      <c r="C429" s="7"/>
      <c r="D429" s="13">
        <v>0.205261</v>
      </c>
      <c r="E429" s="7"/>
      <c r="F429" s="13">
        <v>0.60343199999999997</v>
      </c>
      <c r="G429" s="7"/>
      <c r="H429" s="13">
        <v>0.31445899999999999</v>
      </c>
      <c r="I429" s="7"/>
      <c r="J429" s="7"/>
      <c r="K429" s="7"/>
      <c r="L429" s="7"/>
    </row>
    <row r="430" spans="1:12" ht="14.4" x14ac:dyDescent="0.55000000000000004">
      <c r="A430" s="40"/>
      <c r="B430" s="13">
        <v>0.64410400000000001</v>
      </c>
      <c r="C430" s="7"/>
      <c r="D430" s="13">
        <v>0.161385</v>
      </c>
      <c r="E430" s="7"/>
      <c r="F430" s="13">
        <v>0.615815</v>
      </c>
      <c r="G430" s="7"/>
      <c r="H430" s="13">
        <v>0.33756199999999997</v>
      </c>
      <c r="I430" s="7"/>
      <c r="J430" s="7"/>
      <c r="K430" s="7"/>
      <c r="L430" s="7"/>
    </row>
    <row r="431" spans="1:12" ht="14.4" x14ac:dyDescent="0.55000000000000004">
      <c r="A431" s="40"/>
      <c r="B431" s="13">
        <v>0.64088100000000003</v>
      </c>
      <c r="C431" s="7"/>
      <c r="D431" s="13">
        <v>0.152755</v>
      </c>
      <c r="E431" s="7"/>
      <c r="F431" s="13">
        <v>0.654034</v>
      </c>
      <c r="G431" s="7"/>
      <c r="H431" s="13">
        <v>0.374357</v>
      </c>
      <c r="I431" s="7"/>
      <c r="J431" s="7"/>
      <c r="K431" s="7"/>
      <c r="L431" s="7"/>
    </row>
    <row r="432" spans="1:12" ht="14.4" x14ac:dyDescent="0.55000000000000004">
      <c r="A432" s="40"/>
      <c r="B432" s="13">
        <v>0.60730600000000001</v>
      </c>
      <c r="C432" s="7"/>
      <c r="D432" s="7"/>
      <c r="E432" s="7"/>
      <c r="F432" s="13">
        <v>0.58416199999999996</v>
      </c>
      <c r="G432" s="7"/>
      <c r="H432" s="13">
        <v>0.58910399999999996</v>
      </c>
      <c r="I432" s="7"/>
      <c r="J432" s="7"/>
      <c r="K432" s="7"/>
      <c r="L432" s="7"/>
    </row>
    <row r="433" spans="1:13" ht="14.4" x14ac:dyDescent="0.55000000000000004">
      <c r="A433" s="40"/>
      <c r="B433" s="13">
        <v>0.439805</v>
      </c>
      <c r="C433" s="7"/>
      <c r="D433" s="7"/>
      <c r="E433" s="7"/>
      <c r="F433" s="13">
        <v>0.55085099999999998</v>
      </c>
      <c r="G433" s="7"/>
      <c r="H433" s="13">
        <v>0.51103600000000005</v>
      </c>
      <c r="I433" s="7"/>
      <c r="J433" s="7"/>
      <c r="K433" s="7"/>
      <c r="L433" s="7"/>
    </row>
    <row r="434" spans="1:13" ht="14.4" x14ac:dyDescent="0.55000000000000004">
      <c r="A434" s="40"/>
      <c r="B434" s="13">
        <v>0.47137400000000002</v>
      </c>
      <c r="C434" s="7"/>
      <c r="D434" s="7"/>
      <c r="E434" s="7"/>
      <c r="F434" s="13">
        <v>0.52450699999999995</v>
      </c>
      <c r="G434" s="7"/>
      <c r="H434" s="13">
        <v>0.67424700000000004</v>
      </c>
      <c r="I434" s="7"/>
      <c r="J434" s="7"/>
      <c r="K434" s="7"/>
      <c r="L434" s="7"/>
    </row>
    <row r="435" spans="1:13" ht="14.4" x14ac:dyDescent="0.55000000000000004">
      <c r="A435" s="40"/>
      <c r="B435" s="13">
        <v>0.47849700000000001</v>
      </c>
      <c r="C435" s="7"/>
      <c r="D435" s="7"/>
      <c r="E435" s="7"/>
      <c r="F435" s="7"/>
      <c r="G435" s="7"/>
      <c r="H435" s="13">
        <v>0.29630800000000002</v>
      </c>
      <c r="I435" s="7"/>
      <c r="J435" s="7"/>
      <c r="K435" s="7"/>
      <c r="L435" s="7"/>
    </row>
    <row r="436" spans="1:13" ht="14.4" x14ac:dyDescent="0.55000000000000004">
      <c r="A436" s="40"/>
      <c r="B436" s="7"/>
      <c r="C436" s="7"/>
      <c r="D436" s="7"/>
      <c r="E436" s="7"/>
      <c r="F436" s="7"/>
      <c r="G436" s="7"/>
      <c r="H436" s="13">
        <v>0.33943299999999998</v>
      </c>
      <c r="I436" s="7"/>
      <c r="J436" s="7"/>
      <c r="K436" s="7"/>
      <c r="L436" s="7"/>
    </row>
    <row r="437" spans="1:13" ht="14.4" x14ac:dyDescent="0.55000000000000004">
      <c r="A437" s="40"/>
      <c r="B437" s="7"/>
      <c r="C437" s="7"/>
      <c r="D437" s="7"/>
      <c r="E437" s="7"/>
      <c r="F437" s="7"/>
      <c r="G437" s="7"/>
      <c r="H437" s="13">
        <v>0.239229</v>
      </c>
      <c r="I437" s="7"/>
      <c r="J437" s="7"/>
      <c r="K437" s="7"/>
      <c r="L437" s="7"/>
    </row>
    <row r="438" spans="1:13" ht="14.4" x14ac:dyDescent="0.55000000000000004">
      <c r="A438" s="40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</row>
    <row r="439" spans="1:13" ht="14.4" x14ac:dyDescent="0.55000000000000004">
      <c r="A439" s="40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 spans="1:13" ht="14.4" x14ac:dyDescent="0.55000000000000004">
      <c r="A440" s="40"/>
      <c r="B440" s="13">
        <v>0.40696199999999999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</row>
    <row r="441" spans="1:13" ht="14.4" x14ac:dyDescent="0.55000000000000004">
      <c r="B441" s="12">
        <v>0.415877</v>
      </c>
    </row>
    <row r="442" spans="1:13" ht="14.4" x14ac:dyDescent="0.55000000000000004">
      <c r="B442" s="12">
        <v>0.531725</v>
      </c>
    </row>
    <row r="443" spans="1:13" ht="14.4" x14ac:dyDescent="0.55000000000000004">
      <c r="B443" s="12">
        <v>0.516791</v>
      </c>
    </row>
    <row r="444" spans="1:13" ht="14.4" x14ac:dyDescent="0.55000000000000004">
      <c r="B444" s="12">
        <v>0.42769299999999999</v>
      </c>
    </row>
    <row r="445" spans="1:13" ht="14.4" x14ac:dyDescent="0.55000000000000004">
      <c r="A445" s="39"/>
      <c r="B445" s="12">
        <v>0.374357</v>
      </c>
      <c r="C445" s="40">
        <v>151508</v>
      </c>
      <c r="D445" s="40">
        <v>151509</v>
      </c>
      <c r="E445" s="40">
        <v>151510</v>
      </c>
      <c r="F445" s="40">
        <v>151669</v>
      </c>
      <c r="G445" s="40">
        <v>151670</v>
      </c>
      <c r="H445" s="40">
        <v>151671</v>
      </c>
      <c r="I445" s="40">
        <v>151672</v>
      </c>
      <c r="J445" s="40">
        <v>151673</v>
      </c>
      <c r="K445" s="40">
        <v>151674</v>
      </c>
      <c r="L445" s="40">
        <v>151675</v>
      </c>
      <c r="M445" s="40">
        <v>151676</v>
      </c>
    </row>
    <row r="446" spans="1:13" ht="14.4" x14ac:dyDescent="0.55000000000000004">
      <c r="A446" s="10" t="s">
        <v>0</v>
      </c>
      <c r="B446" s="13">
        <v>0.59926000000000001</v>
      </c>
      <c r="C446" s="7">
        <v>0</v>
      </c>
      <c r="D446" s="7">
        <v>0.42979400000000001</v>
      </c>
      <c r="E446" s="7">
        <v>0.47319</v>
      </c>
      <c r="F446" s="7">
        <v>0.40460800000000002</v>
      </c>
      <c r="G446" s="7">
        <v>0.38750800000000002</v>
      </c>
      <c r="H446" s="7">
        <v>0.59926000000000001</v>
      </c>
      <c r="I446" s="7">
        <v>0.62194000000000005</v>
      </c>
      <c r="J446" s="7">
        <v>0.66126600000000002</v>
      </c>
      <c r="K446" s="7">
        <v>0.59170599999999995</v>
      </c>
      <c r="L446" s="7">
        <v>0.47311300000000001</v>
      </c>
      <c r="M446" s="7">
        <v>0.63705999999999996</v>
      </c>
    </row>
    <row r="447" spans="1:13" ht="14.4" x14ac:dyDescent="0.55000000000000004">
      <c r="A447" s="10" t="s">
        <v>87</v>
      </c>
      <c r="B447" s="13">
        <v>0.51103600000000005</v>
      </c>
      <c r="C447" s="7">
        <v>0</v>
      </c>
      <c r="D447" s="7">
        <v>0.61566100000000001</v>
      </c>
      <c r="E447" s="7">
        <v>0.61250199999999999</v>
      </c>
      <c r="F447" s="7">
        <v>0.57806800000000003</v>
      </c>
      <c r="G447" s="7">
        <v>0.56857800000000003</v>
      </c>
      <c r="H447" s="7">
        <v>0.68818999999999997</v>
      </c>
      <c r="I447" s="7">
        <v>0.68281599999999998</v>
      </c>
      <c r="J447" s="7">
        <v>0.73059700000000005</v>
      </c>
      <c r="K447" s="7">
        <v>0.68951300000000004</v>
      </c>
      <c r="L447" s="7">
        <v>0.61733300000000002</v>
      </c>
      <c r="M447" s="7">
        <v>0.690693</v>
      </c>
    </row>
    <row r="448" spans="1:13" ht="14.4" x14ac:dyDescent="0.55000000000000004">
      <c r="A448" s="10" t="s">
        <v>88</v>
      </c>
      <c r="B448" s="13">
        <v>0.67424700000000004</v>
      </c>
      <c r="C448" s="7">
        <v>0</v>
      </c>
      <c r="D448" s="7">
        <v>0.67867</v>
      </c>
      <c r="E448" s="7">
        <v>0.79780600000000002</v>
      </c>
      <c r="F448" s="7">
        <v>0.49207200000000001</v>
      </c>
      <c r="G448" s="7">
        <v>0.47925899999999999</v>
      </c>
      <c r="H448" s="7">
        <v>0.62065000000000003</v>
      </c>
      <c r="I448" s="7">
        <v>0.65408999999999995</v>
      </c>
      <c r="J448" s="7">
        <v>0.74741500000000005</v>
      </c>
      <c r="K448" s="7">
        <v>0.703098</v>
      </c>
      <c r="L448" s="7">
        <v>0.67027800000000004</v>
      </c>
      <c r="M448" s="7">
        <v>0.72299000000000002</v>
      </c>
    </row>
    <row r="449" spans="1:13" ht="14.4" x14ac:dyDescent="0.55000000000000004">
      <c r="A449" s="10" t="s">
        <v>89</v>
      </c>
      <c r="B449" s="13">
        <v>0.59170599999999995</v>
      </c>
      <c r="C449" s="7">
        <v>0</v>
      </c>
      <c r="D449" s="7">
        <v>0.56335800000000003</v>
      </c>
      <c r="E449" s="7">
        <v>0.497054</v>
      </c>
      <c r="F449" s="7">
        <v>0.700488</v>
      </c>
      <c r="G449" s="7">
        <v>0.69881599999999999</v>
      </c>
      <c r="H449" s="7">
        <v>0.77222400000000002</v>
      </c>
      <c r="I449" s="7">
        <v>0.71418000000000004</v>
      </c>
      <c r="J449" s="7">
        <v>0.71451799999999999</v>
      </c>
      <c r="K449" s="7">
        <v>0.67644199999999999</v>
      </c>
      <c r="L449" s="7">
        <v>0.57213999999999998</v>
      </c>
      <c r="M449" s="7">
        <v>0.66115800000000002</v>
      </c>
    </row>
    <row r="450" spans="1:13" ht="14.4" x14ac:dyDescent="0.55000000000000004">
      <c r="A450" s="10" t="s">
        <v>90</v>
      </c>
      <c r="B450" s="13">
        <v>0.47311300000000001</v>
      </c>
      <c r="C450" s="7">
        <v>0</v>
      </c>
      <c r="D450" s="7">
        <v>5.3516000000000001E-2</v>
      </c>
      <c r="E450" s="7">
        <v>5.5222E-2</v>
      </c>
      <c r="F450" s="7">
        <v>6.1370000000000001E-2</v>
      </c>
      <c r="G450" s="7">
        <v>6.0386000000000002E-2</v>
      </c>
      <c r="H450" s="7">
        <v>5.7821999999999998E-2</v>
      </c>
      <c r="I450" s="7">
        <v>5.9523E-2</v>
      </c>
      <c r="J450" s="7">
        <v>6.0472999999999999E-2</v>
      </c>
      <c r="K450" s="7">
        <v>5.9769999999999997E-2</v>
      </c>
      <c r="L450" s="7">
        <v>6.0358000000000002E-2</v>
      </c>
      <c r="M450" s="7">
        <v>6.2520000000000006E-2</v>
      </c>
    </row>
    <row r="451" spans="1:13" ht="14.4" x14ac:dyDescent="0.55000000000000004">
      <c r="A451" s="10" t="s">
        <v>91</v>
      </c>
      <c r="B451" s="13">
        <v>0.52450699999999995</v>
      </c>
      <c r="C451" s="7">
        <v>0</v>
      </c>
      <c r="D451" s="7">
        <v>1.5037999999999999E-2</v>
      </c>
      <c r="E451" s="7">
        <v>5.6579999999999998E-3</v>
      </c>
      <c r="F451" s="7">
        <v>1.7052000000000001E-2</v>
      </c>
      <c r="G451" s="7">
        <v>1.4350999999999999E-2</v>
      </c>
      <c r="H451" s="7">
        <v>2.0523E-2</v>
      </c>
      <c r="I451" s="7">
        <v>1.0288E-2</v>
      </c>
      <c r="J451" s="7">
        <v>1.4123999999999999E-2</v>
      </c>
      <c r="K451" s="7">
        <v>1.3755E-2</v>
      </c>
      <c r="L451" s="7">
        <v>1.4862999999999999E-2</v>
      </c>
      <c r="M451" s="7">
        <v>2.3025E-2</v>
      </c>
    </row>
    <row r="452" spans="1:13" ht="14.4" x14ac:dyDescent="0.55000000000000004">
      <c r="A452" s="10" t="s">
        <v>92</v>
      </c>
      <c r="B452" s="7">
        <v>2.3127999999999999E-2</v>
      </c>
      <c r="C452" s="7">
        <v>0</v>
      </c>
      <c r="D452" s="7">
        <v>-0.24085999999999999</v>
      </c>
      <c r="E452" s="7">
        <v>-9.2840000000000006E-2</v>
      </c>
      <c r="F452" s="7">
        <v>9.8874000000000004E-2</v>
      </c>
      <c r="G452" s="7">
        <v>1.7741E-2</v>
      </c>
      <c r="H452" s="7">
        <v>6.8852999999999998E-2</v>
      </c>
      <c r="I452" s="7">
        <v>-5.7000000000000002E-2</v>
      </c>
      <c r="J452" s="7">
        <v>-1.128E-2</v>
      </c>
      <c r="K452" s="7">
        <v>0.10974399999999999</v>
      </c>
      <c r="L452" s="7">
        <v>4.6850000000000003E-2</v>
      </c>
      <c r="M452" s="7">
        <v>3.8670999999999997E-2</v>
      </c>
    </row>
    <row r="453" spans="1:13" ht="14.4" x14ac:dyDescent="0.55000000000000004">
      <c r="A453" s="10" t="s">
        <v>93</v>
      </c>
      <c r="B453" s="7">
        <v>55.992199999999997</v>
      </c>
      <c r="C453" s="7">
        <v>0</v>
      </c>
      <c r="D453" s="7">
        <v>60.380609999999997</v>
      </c>
      <c r="E453" s="7">
        <v>57.142600000000002</v>
      </c>
      <c r="F453" s="7">
        <v>46.282170000000001</v>
      </c>
      <c r="G453" s="7">
        <v>41.50902</v>
      </c>
      <c r="H453" s="7">
        <v>52.18421</v>
      </c>
      <c r="I453" s="7">
        <v>50.249929999999999</v>
      </c>
      <c r="J453" s="7">
        <v>44.897730000000003</v>
      </c>
      <c r="K453" s="7">
        <v>47.046819999999997</v>
      </c>
      <c r="L453" s="7">
        <v>45.311019999999999</v>
      </c>
      <c r="M453" s="7">
        <v>49.83466</v>
      </c>
    </row>
    <row r="454" spans="1:13" ht="14.4" x14ac:dyDescent="0.55000000000000004">
      <c r="A454" s="10" t="s">
        <v>94</v>
      </c>
      <c r="B454" s="7">
        <v>3568.0949999999998</v>
      </c>
      <c r="C454" s="7">
        <v>0</v>
      </c>
      <c r="D454" s="7">
        <v>6675.4660000000003</v>
      </c>
      <c r="E454" s="7">
        <v>3939.1289999999999</v>
      </c>
      <c r="F454" s="7">
        <v>3091.8240000000001</v>
      </c>
      <c r="G454" s="7">
        <v>2936.4110000000001</v>
      </c>
      <c r="H454" s="7">
        <v>3504.0340000000001</v>
      </c>
      <c r="I454" s="7">
        <v>3407.877</v>
      </c>
      <c r="J454" s="7">
        <v>3105.7719999999999</v>
      </c>
      <c r="K454" s="7">
        <v>3177.9189999999999</v>
      </c>
      <c r="L454" s="7">
        <v>3030.723</v>
      </c>
      <c r="M454" s="7">
        <v>2923.5189999999998</v>
      </c>
    </row>
    <row r="455" spans="1:13" ht="14.4" x14ac:dyDescent="0.55000000000000004">
      <c r="A455" s="10" t="s">
        <v>95</v>
      </c>
      <c r="B455" s="7">
        <v>0.16686999999999999</v>
      </c>
      <c r="C455" s="7">
        <v>0</v>
      </c>
      <c r="D455" s="7">
        <v>0.20421400000000001</v>
      </c>
      <c r="E455" s="7">
        <v>0.199071</v>
      </c>
      <c r="F455" s="7">
        <v>0.18205499999999999</v>
      </c>
      <c r="G455" s="7">
        <v>0.18352199999999999</v>
      </c>
      <c r="H455" s="7">
        <v>0.20668700000000001</v>
      </c>
      <c r="I455" s="7">
        <v>0.202014</v>
      </c>
      <c r="J455" s="7">
        <v>0.32827000000000001</v>
      </c>
      <c r="K455" s="7">
        <v>0.28375600000000001</v>
      </c>
      <c r="L455" s="7">
        <v>0.33847500000000003</v>
      </c>
      <c r="M455" s="7">
        <v>0.206368</v>
      </c>
    </row>
    <row r="456" spans="1:13" ht="14.4" x14ac:dyDescent="0.55000000000000004">
      <c r="A456" s="10" t="s">
        <v>96</v>
      </c>
      <c r="B456" s="7">
        <v>0.83337600000000001</v>
      </c>
      <c r="C456" s="7">
        <v>0</v>
      </c>
      <c r="D456" s="7">
        <v>0.79648099999999999</v>
      </c>
      <c r="E456" s="7">
        <v>0.80089600000000005</v>
      </c>
      <c r="F456" s="7">
        <v>0.81772500000000004</v>
      </c>
      <c r="G456" s="7">
        <v>0.81516900000000003</v>
      </c>
      <c r="H456" s="7">
        <v>0.79481500000000005</v>
      </c>
      <c r="I456" s="7">
        <v>0.79701999999999995</v>
      </c>
      <c r="J456" s="7">
        <v>0.671574</v>
      </c>
      <c r="K456" s="7">
        <v>0.71596700000000002</v>
      </c>
      <c r="L456" s="7">
        <v>0.66031300000000004</v>
      </c>
      <c r="M456" s="7">
        <v>0.79130599999999995</v>
      </c>
    </row>
    <row r="462" spans="1:13" ht="14.4" x14ac:dyDescent="0.55000000000000004">
      <c r="C462" s="12">
        <v>9.5880000000000007E-2</v>
      </c>
      <c r="E462" s="12">
        <v>0.203983</v>
      </c>
    </row>
    <row r="463" spans="1:13" ht="14.4" x14ac:dyDescent="0.55000000000000004">
      <c r="C463" s="12">
        <v>0.166939</v>
      </c>
      <c r="E463" s="12">
        <v>0.23699400000000001</v>
      </c>
      <c r="G463" s="12">
        <v>0.52093699999999998</v>
      </c>
    </row>
    <row r="464" spans="1:13" ht="14.4" x14ac:dyDescent="0.55000000000000004">
      <c r="C464" s="12">
        <v>0.15069099999999999</v>
      </c>
      <c r="E464" s="12">
        <v>7.6691999999999996E-2</v>
      </c>
      <c r="G464" s="12">
        <v>0.48976599999999998</v>
      </c>
    </row>
    <row r="465" spans="3:7" ht="14.4" x14ac:dyDescent="0.55000000000000004">
      <c r="C465" s="12">
        <v>0.14662</v>
      </c>
      <c r="E465" s="12">
        <v>8.1236000000000003E-2</v>
      </c>
      <c r="G465" s="12">
        <v>0.46866999999999998</v>
      </c>
    </row>
    <row r="466" spans="3:7" ht="14.4" x14ac:dyDescent="0.55000000000000004">
      <c r="C466" s="12">
        <v>0.17141899999999999</v>
      </c>
      <c r="E466" s="12">
        <v>-2.164E-2</v>
      </c>
      <c r="G466" s="12">
        <v>0.41810900000000001</v>
      </c>
    </row>
    <row r="467" spans="3:7" ht="14.4" x14ac:dyDescent="0.55000000000000004">
      <c r="C467" s="12">
        <v>0.138987</v>
      </c>
      <c r="E467" s="12">
        <v>0.327824</v>
      </c>
      <c r="G467" s="12">
        <v>0.31986999999999999</v>
      </c>
    </row>
    <row r="468" spans="3:7" ht="14.4" x14ac:dyDescent="0.55000000000000004">
      <c r="C468" s="12">
        <v>0.17618600000000001</v>
      </c>
      <c r="E468" s="12">
        <v>0.56433</v>
      </c>
      <c r="G468" s="12">
        <v>0.39448699999999998</v>
      </c>
    </row>
    <row r="469" spans="3:7" ht="14.4" x14ac:dyDescent="0.55000000000000004">
      <c r="C469" s="12">
        <v>6.9237000000000007E-2</v>
      </c>
      <c r="E469" s="12">
        <v>0.59923400000000004</v>
      </c>
      <c r="G469" s="12">
        <v>0.54814499999999999</v>
      </c>
    </row>
    <row r="470" spans="3:7" ht="14.4" x14ac:dyDescent="0.55000000000000004">
      <c r="C470" s="12">
        <v>6.4295000000000005E-2</v>
      </c>
      <c r="E470" s="12">
        <v>0.18057699999999999</v>
      </c>
      <c r="G470" s="12">
        <v>0.61077300000000001</v>
      </c>
    </row>
    <row r="471" spans="3:7" ht="14.4" x14ac:dyDescent="0.55000000000000004">
      <c r="C471" s="12">
        <v>0.11880400000000001</v>
      </c>
      <c r="E471" s="12">
        <v>0.32062499999999999</v>
      </c>
      <c r="G471" s="12">
        <v>0.44026300000000002</v>
      </c>
    </row>
    <row r="472" spans="3:7" ht="14.4" x14ac:dyDescent="0.55000000000000004">
      <c r="C472" s="12">
        <v>0.11852500000000001</v>
      </c>
      <c r="E472" s="12">
        <v>0.28939900000000002</v>
      </c>
      <c r="G472" s="12">
        <v>0.427315</v>
      </c>
    </row>
    <row r="473" spans="3:7" ht="14.4" x14ac:dyDescent="0.55000000000000004">
      <c r="C473" s="12">
        <v>0.13002</v>
      </c>
      <c r="E473" s="12">
        <v>0.29688500000000001</v>
      </c>
      <c r="G473" s="12">
        <v>0.46379700000000001</v>
      </c>
    </row>
    <row r="474" spans="3:7" ht="14.4" x14ac:dyDescent="0.55000000000000004">
      <c r="G474" s="12">
        <v>0.63714599999999999</v>
      </c>
    </row>
    <row r="478" spans="3:7" ht="14.4" x14ac:dyDescent="0.55000000000000004">
      <c r="D478" s="10" t="s">
        <v>100</v>
      </c>
      <c r="E478" s="10" t="s">
        <v>101</v>
      </c>
    </row>
    <row r="479" spans="3:7" ht="14.4" x14ac:dyDescent="0.55000000000000004">
      <c r="D479" s="7">
        <v>0.52657900000000002</v>
      </c>
      <c r="E479" s="11">
        <v>0.31903399999999998</v>
      </c>
    </row>
    <row r="480" spans="3:7" ht="14.4" x14ac:dyDescent="0.55000000000000004">
      <c r="D480" s="7">
        <v>0</v>
      </c>
      <c r="E480" s="11">
        <v>0.33743600000000001</v>
      </c>
    </row>
    <row r="481" spans="4:8" ht="14.4" x14ac:dyDescent="0.55000000000000004">
      <c r="D481" s="7">
        <v>0.42979400000000001</v>
      </c>
      <c r="E481" s="11">
        <v>0.38785999999999998</v>
      </c>
    </row>
    <row r="482" spans="4:8" ht="14.4" x14ac:dyDescent="0.55000000000000004">
      <c r="D482" s="7">
        <v>0.47319</v>
      </c>
      <c r="E482" s="11">
        <v>0.451764</v>
      </c>
      <c r="H482" s="12">
        <v>0.40696199999999999</v>
      </c>
    </row>
    <row r="483" spans="4:8" ht="14.4" x14ac:dyDescent="0.55000000000000004">
      <c r="D483" s="7">
        <v>0.40460800000000002</v>
      </c>
      <c r="E483" s="11">
        <v>0.43754700000000002</v>
      </c>
      <c r="H483" s="12">
        <v>0.415877</v>
      </c>
    </row>
    <row r="484" spans="4:8" ht="14.4" x14ac:dyDescent="0.55000000000000004">
      <c r="D484" s="7">
        <v>0.38750800000000002</v>
      </c>
      <c r="E484" s="11">
        <v>0.35050700000000001</v>
      </c>
      <c r="H484" s="12">
        <v>0.531725</v>
      </c>
    </row>
    <row r="485" spans="4:8" ht="14.4" x14ac:dyDescent="0.55000000000000004">
      <c r="D485" s="7">
        <v>0.59926000000000001</v>
      </c>
      <c r="E485" s="11">
        <v>0.64410400000000001</v>
      </c>
      <c r="H485" s="12">
        <v>0.31445899999999999</v>
      </c>
    </row>
    <row r="486" spans="4:8" ht="14.4" x14ac:dyDescent="0.55000000000000004">
      <c r="D486" s="7">
        <v>0.62194000000000005</v>
      </c>
      <c r="E486" s="11">
        <v>0.64088100000000003</v>
      </c>
      <c r="H486" s="12">
        <v>0.33756199999999997</v>
      </c>
    </row>
    <row r="487" spans="4:8" ht="14.4" x14ac:dyDescent="0.55000000000000004">
      <c r="D487" s="7">
        <v>0.66126600000000002</v>
      </c>
      <c r="E487" s="11">
        <v>0.60730600000000001</v>
      </c>
      <c r="H487" s="12">
        <v>0.374357</v>
      </c>
    </row>
    <row r="488" spans="4:8" ht="14.4" x14ac:dyDescent="0.55000000000000004">
      <c r="D488" s="7">
        <v>0.59170599999999995</v>
      </c>
      <c r="E488" s="11">
        <v>0.439805</v>
      </c>
      <c r="H488" s="12">
        <v>0.43853300000000001</v>
      </c>
    </row>
    <row r="489" spans="4:8" ht="14.4" x14ac:dyDescent="0.55000000000000004">
      <c r="D489" s="7">
        <v>0.47311300000000001</v>
      </c>
      <c r="E489" s="11">
        <v>0.47137400000000002</v>
      </c>
      <c r="H489" s="12">
        <v>0.59107699999999996</v>
      </c>
    </row>
    <row r="490" spans="4:8" ht="14.4" x14ac:dyDescent="0.55000000000000004">
      <c r="D490" s="7">
        <v>0.63705999999999996</v>
      </c>
      <c r="E490" s="11">
        <v>0.47849700000000001</v>
      </c>
      <c r="H490" s="12">
        <v>0.67424700000000004</v>
      </c>
    </row>
    <row r="491" spans="4:8" ht="14.4" x14ac:dyDescent="0.55000000000000004">
      <c r="H491" s="12">
        <v>0.36371500000000001</v>
      </c>
    </row>
    <row r="492" spans="4:8" ht="14.4" x14ac:dyDescent="0.55000000000000004">
      <c r="H492" s="12">
        <v>0.33943299999999998</v>
      </c>
    </row>
    <row r="493" spans="4:8" ht="14.4" x14ac:dyDescent="0.55000000000000004">
      <c r="H493" s="12">
        <v>0.21218799999999999</v>
      </c>
    </row>
    <row r="499" spans="3:5" ht="14.4" x14ac:dyDescent="0.55000000000000004">
      <c r="C499" s="12">
        <v>0.47873599999999999</v>
      </c>
    </row>
    <row r="500" spans="3:5" ht="14.4" x14ac:dyDescent="0.55000000000000004">
      <c r="C500" s="12">
        <v>0.33334900000000001</v>
      </c>
    </row>
    <row r="501" spans="3:5" ht="14.4" x14ac:dyDescent="0.55000000000000004">
      <c r="C501" s="12">
        <v>0.44914500000000002</v>
      </c>
    </row>
    <row r="502" spans="3:5" ht="14.4" x14ac:dyDescent="0.55000000000000004">
      <c r="C502" s="12">
        <v>0.49819400000000003</v>
      </c>
    </row>
    <row r="503" spans="3:5" ht="14.4" x14ac:dyDescent="0.55000000000000004">
      <c r="C503" s="12">
        <v>0.54228200000000004</v>
      </c>
      <c r="E503" s="12">
        <v>0.135189</v>
      </c>
    </row>
    <row r="504" spans="3:5" ht="14.4" x14ac:dyDescent="0.55000000000000004">
      <c r="C504" s="12">
        <v>0.38065599999999999</v>
      </c>
      <c r="E504" s="12">
        <v>0.16394</v>
      </c>
    </row>
    <row r="505" spans="3:5" ht="14.4" x14ac:dyDescent="0.55000000000000004">
      <c r="C505" s="12">
        <v>0.58910399999999996</v>
      </c>
      <c r="E505" s="12">
        <v>0.15063399999999999</v>
      </c>
    </row>
    <row r="506" spans="3:5" ht="14.4" x14ac:dyDescent="0.55000000000000004">
      <c r="C506" s="12">
        <v>0.59336199999999995</v>
      </c>
      <c r="E506" s="12">
        <v>0.13905899999999999</v>
      </c>
    </row>
    <row r="507" spans="3:5" ht="14.4" x14ac:dyDescent="0.55000000000000004">
      <c r="C507" s="12">
        <v>0.60202500000000003</v>
      </c>
      <c r="E507" s="12">
        <v>0.156775</v>
      </c>
    </row>
    <row r="508" spans="3:5" ht="14.4" x14ac:dyDescent="0.55000000000000004">
      <c r="C508" s="12">
        <v>0.444046</v>
      </c>
      <c r="E508" s="12">
        <v>0.153277</v>
      </c>
    </row>
    <row r="509" spans="3:5" ht="14.4" x14ac:dyDescent="0.55000000000000004">
      <c r="C509" s="12">
        <v>0.41503800000000002</v>
      </c>
      <c r="E509" s="12">
        <v>8.5948999999999998E-2</v>
      </c>
    </row>
    <row r="510" spans="3:5" ht="14.4" x14ac:dyDescent="0.55000000000000004">
      <c r="C510" s="12">
        <v>0.41827199999999998</v>
      </c>
      <c r="E510" s="12">
        <v>1.4813E-2</v>
      </c>
    </row>
    <row r="511" spans="3:5" ht="14.4" x14ac:dyDescent="0.55000000000000004">
      <c r="E511" s="12">
        <v>0.134302</v>
      </c>
    </row>
    <row r="512" spans="3:5" ht="14.4" x14ac:dyDescent="0.55000000000000004">
      <c r="E512" s="12">
        <v>0.13140099999999999</v>
      </c>
    </row>
    <row r="513" spans="4:5" ht="14.4" x14ac:dyDescent="0.55000000000000004">
      <c r="E513" s="12">
        <v>0.14218600000000001</v>
      </c>
    </row>
    <row r="514" spans="4:5" ht="14.4" x14ac:dyDescent="0.55000000000000004">
      <c r="E514" s="12">
        <v>0.12195300000000001</v>
      </c>
    </row>
    <row r="518" spans="4:5" ht="14.4" x14ac:dyDescent="0.55000000000000004">
      <c r="D518" s="12">
        <v>0.32301400000000002</v>
      </c>
    </row>
    <row r="519" spans="4:5" ht="14.4" x14ac:dyDescent="0.55000000000000004">
      <c r="D519" s="12">
        <v>0.34066600000000002</v>
      </c>
    </row>
    <row r="520" spans="4:5" ht="14.4" x14ac:dyDescent="0.55000000000000004">
      <c r="D520" s="12">
        <v>0.48981400000000003</v>
      </c>
    </row>
    <row r="521" spans="4:5" ht="14.4" x14ac:dyDescent="0.55000000000000004">
      <c r="D521" s="12">
        <v>0.34084399999999998</v>
      </c>
    </row>
    <row r="522" spans="4:5" ht="14.4" x14ac:dyDescent="0.55000000000000004">
      <c r="D522" s="12">
        <v>0.42769299999999999</v>
      </c>
    </row>
    <row r="523" spans="4:5" ht="14.4" x14ac:dyDescent="0.55000000000000004">
      <c r="D523" s="12">
        <v>0.28515200000000002</v>
      </c>
    </row>
    <row r="524" spans="4:5" ht="14.4" x14ac:dyDescent="0.55000000000000004">
      <c r="D524" s="12">
        <v>0.82827099999999998</v>
      </c>
    </row>
    <row r="525" spans="4:5" ht="14.4" x14ac:dyDescent="0.55000000000000004">
      <c r="D525" s="12">
        <v>0.51103600000000005</v>
      </c>
    </row>
    <row r="526" spans="4:5" ht="14.4" x14ac:dyDescent="0.55000000000000004">
      <c r="D526" s="12">
        <v>0.43251299999999998</v>
      </c>
    </row>
    <row r="527" spans="4:5" ht="14.4" x14ac:dyDescent="0.55000000000000004">
      <c r="D527" s="12">
        <v>0.29630800000000002</v>
      </c>
    </row>
    <row r="528" spans="4:5" ht="14.4" x14ac:dyDescent="0.55000000000000004">
      <c r="D528" s="12">
        <v>0.48085099999999997</v>
      </c>
    </row>
    <row r="529" spans="2:12" ht="14.4" x14ac:dyDescent="0.55000000000000004">
      <c r="D529" s="12">
        <v>0.239229</v>
      </c>
    </row>
    <row r="532" spans="2:12" ht="14.4" x14ac:dyDescent="0.55000000000000004">
      <c r="B532" s="12">
        <v>9.5880000000000007E-2</v>
      </c>
      <c r="C532" s="12">
        <v>0.15554100000000001</v>
      </c>
      <c r="D532" s="12">
        <v>0.17144599999999999</v>
      </c>
      <c r="E532" s="12">
        <v>0.14233699999999999</v>
      </c>
      <c r="F532" s="12">
        <v>5.6654999999999997E-2</v>
      </c>
      <c r="G532" s="12">
        <v>6.7045999999999994E-2</v>
      </c>
      <c r="H532" s="12">
        <v>-0.11816</v>
      </c>
      <c r="I532" s="12">
        <v>372.55239999999998</v>
      </c>
      <c r="J532" s="12">
        <v>2752.134</v>
      </c>
      <c r="K532" s="12">
        <v>0.185393</v>
      </c>
      <c r="L532" s="12">
        <v>0.81420800000000004</v>
      </c>
    </row>
    <row r="533" spans="2:12" ht="14.4" x14ac:dyDescent="0.55000000000000004">
      <c r="B533" s="12">
        <v>0.166939</v>
      </c>
      <c r="C533" s="12">
        <v>0.23236299999999999</v>
      </c>
      <c r="D533" s="12">
        <v>0.269654</v>
      </c>
      <c r="E533" s="12">
        <v>0.20413300000000001</v>
      </c>
      <c r="F533" s="12">
        <v>5.5252999999999997E-2</v>
      </c>
      <c r="G533" s="12">
        <v>2.3054000000000002E-2</v>
      </c>
      <c r="H533" s="12">
        <v>3.3822999999999999E-2</v>
      </c>
      <c r="I533" s="12">
        <v>339.66739999999999</v>
      </c>
      <c r="J533" s="12">
        <v>2832.0970000000002</v>
      </c>
      <c r="K533" s="12">
        <v>0.17735000000000001</v>
      </c>
      <c r="L533" s="12">
        <v>0.82186899999999996</v>
      </c>
    </row>
    <row r="534" spans="2:12" ht="14.4" x14ac:dyDescent="0.55000000000000004">
      <c r="B534" s="12">
        <v>0.15069099999999999</v>
      </c>
      <c r="C534" s="12">
        <v>0.22800999999999999</v>
      </c>
      <c r="D534" s="12">
        <v>0.25430599999999998</v>
      </c>
      <c r="E534" s="12">
        <v>0.20664299999999999</v>
      </c>
      <c r="F534" s="12">
        <v>5.3624999999999999E-2</v>
      </c>
      <c r="G534" s="12">
        <v>1.9841000000000001E-2</v>
      </c>
      <c r="H534" s="12">
        <v>-0.2321</v>
      </c>
      <c r="I534" s="12">
        <v>346.15699999999998</v>
      </c>
      <c r="J534" s="12">
        <v>3098.2289999999998</v>
      </c>
      <c r="K534" s="12">
        <v>0.16220699999999999</v>
      </c>
      <c r="L534" s="12">
        <v>0.83710499999999999</v>
      </c>
    </row>
    <row r="535" spans="2:12" ht="14.4" x14ac:dyDescent="0.55000000000000004">
      <c r="B535" s="12">
        <v>0.14662</v>
      </c>
      <c r="C535" s="12">
        <v>0.20679800000000001</v>
      </c>
      <c r="D535" s="12">
        <v>0.22289500000000001</v>
      </c>
      <c r="E535" s="12">
        <v>0.19286900000000001</v>
      </c>
      <c r="F535" s="12">
        <v>5.5243E-2</v>
      </c>
      <c r="G535" s="12">
        <v>2.7855999999999999E-2</v>
      </c>
      <c r="H535" s="12">
        <v>2.3050999999999999E-2</v>
      </c>
      <c r="I535" s="12">
        <v>336.89260000000002</v>
      </c>
      <c r="J535" s="12">
        <v>2997.0279999999998</v>
      </c>
      <c r="K535" s="12">
        <v>0.16423299999999999</v>
      </c>
      <c r="L535" s="12">
        <v>0.83447800000000005</v>
      </c>
    </row>
    <row r="536" spans="2:12" ht="14.4" x14ac:dyDescent="0.55000000000000004">
      <c r="B536" s="12">
        <v>0.17141899999999999</v>
      </c>
      <c r="C536" s="12">
        <v>0.13306899999999999</v>
      </c>
      <c r="D536" s="12">
        <v>0.15204000000000001</v>
      </c>
      <c r="E536" s="12">
        <v>0.118308</v>
      </c>
      <c r="F536" s="12">
        <v>6.1179999999999998E-2</v>
      </c>
      <c r="G536" s="12">
        <v>4.9500000000000004E-3</v>
      </c>
      <c r="H536" s="12">
        <v>4.9577000000000003E-2</v>
      </c>
      <c r="I536" s="12">
        <v>271.32549999999998</v>
      </c>
      <c r="J536" s="12">
        <v>2440.9870000000001</v>
      </c>
      <c r="K536" s="12">
        <v>0.152281</v>
      </c>
      <c r="L536" s="12">
        <v>0.851518</v>
      </c>
    </row>
    <row r="537" spans="2:12" ht="14.4" x14ac:dyDescent="0.55000000000000004">
      <c r="B537" s="12">
        <v>0.138987</v>
      </c>
      <c r="C537" s="12">
        <v>0.131413</v>
      </c>
      <c r="D537" s="12">
        <v>0.123958</v>
      </c>
      <c r="E537" s="12">
        <v>0.139822</v>
      </c>
      <c r="F537" s="12">
        <v>6.0808000000000001E-2</v>
      </c>
      <c r="G537" s="12">
        <v>5.5108999999999998E-2</v>
      </c>
      <c r="H537" s="12">
        <v>-1.848E-2</v>
      </c>
      <c r="I537" s="12">
        <v>256.7396</v>
      </c>
      <c r="J537" s="12">
        <v>2340.2689999999998</v>
      </c>
      <c r="K537" s="12">
        <v>0.18352199999999999</v>
      </c>
      <c r="L537" s="12">
        <v>0.81516900000000003</v>
      </c>
    </row>
    <row r="538" spans="2:12" ht="14.4" x14ac:dyDescent="0.55000000000000004">
      <c r="B538" s="12">
        <v>0.17618600000000001</v>
      </c>
      <c r="C538" s="12">
        <v>0.19732</v>
      </c>
      <c r="D538" s="12">
        <v>0.19853199999999999</v>
      </c>
      <c r="E538" s="12">
        <v>0.19612199999999999</v>
      </c>
      <c r="F538" s="12">
        <v>5.7772999999999998E-2</v>
      </c>
      <c r="G538" s="12">
        <v>1.4903E-2</v>
      </c>
      <c r="H538" s="12">
        <v>3.0804999999999999E-2</v>
      </c>
      <c r="I538" s="12">
        <v>326.87459999999999</v>
      </c>
      <c r="J538" s="12">
        <v>2709.915</v>
      </c>
      <c r="K538" s="12">
        <v>0.242509</v>
      </c>
      <c r="L538" s="12">
        <v>0.75766800000000001</v>
      </c>
    </row>
    <row r="539" spans="2:12" ht="14.4" x14ac:dyDescent="0.55000000000000004">
      <c r="B539" s="12">
        <v>6.9237000000000007E-2</v>
      </c>
      <c r="C539" s="12">
        <v>0.18326600000000001</v>
      </c>
      <c r="D539" s="12">
        <v>0.23965900000000001</v>
      </c>
      <c r="E539" s="12">
        <v>0.14835599999999999</v>
      </c>
      <c r="F539" s="12">
        <v>5.9581000000000002E-2</v>
      </c>
      <c r="G539" s="12">
        <v>1.3632E-2</v>
      </c>
      <c r="H539" s="12">
        <v>-0.1096</v>
      </c>
      <c r="I539" s="12">
        <v>322.38330000000002</v>
      </c>
      <c r="J539" s="12">
        <v>2646.8029999999999</v>
      </c>
      <c r="K539" s="12">
        <v>0.205542</v>
      </c>
      <c r="L539" s="12">
        <v>0.79389600000000005</v>
      </c>
    </row>
    <row r="540" spans="2:12" ht="14.4" x14ac:dyDescent="0.55000000000000004">
      <c r="B540" s="12">
        <v>6.4295000000000005E-2</v>
      </c>
      <c r="C540" s="12">
        <v>0.25445299999999998</v>
      </c>
      <c r="D540" s="12">
        <v>0.41692699999999999</v>
      </c>
      <c r="E540" s="12">
        <v>0.18310000000000001</v>
      </c>
      <c r="F540" s="12">
        <v>6.1006999999999999E-2</v>
      </c>
      <c r="G540" s="12">
        <v>3.6277999999999998E-2</v>
      </c>
      <c r="H540" s="12">
        <v>-0.16474</v>
      </c>
      <c r="I540" s="12">
        <v>277.06900000000002</v>
      </c>
      <c r="J540" s="12">
        <v>2450.7570000000001</v>
      </c>
      <c r="K540" s="12">
        <v>0.27385100000000001</v>
      </c>
      <c r="L540" s="12">
        <v>0.72483799999999998</v>
      </c>
    </row>
    <row r="541" spans="2:12" ht="14.4" x14ac:dyDescent="0.55000000000000004">
      <c r="B541" s="12">
        <v>0.11880400000000001</v>
      </c>
      <c r="C541" s="12">
        <v>0.30268899999999999</v>
      </c>
      <c r="D541" s="12">
        <v>0.38755099999999998</v>
      </c>
      <c r="E541" s="12">
        <v>0.24831600000000001</v>
      </c>
      <c r="F541" s="12">
        <v>6.0262999999999997E-2</v>
      </c>
      <c r="G541" s="12">
        <v>5.8047000000000001E-2</v>
      </c>
      <c r="H541" s="12">
        <v>-1.6719999999999999E-2</v>
      </c>
      <c r="I541" s="12">
        <v>289.99829999999997</v>
      </c>
      <c r="J541" s="12">
        <v>2498.183</v>
      </c>
      <c r="K541" s="12">
        <v>0.30058000000000001</v>
      </c>
      <c r="L541" s="12">
        <v>0.698681</v>
      </c>
    </row>
    <row r="542" spans="2:12" ht="14.4" x14ac:dyDescent="0.55000000000000004">
      <c r="B542" s="12">
        <v>0.11852500000000001</v>
      </c>
      <c r="C542" s="12">
        <v>0.221743</v>
      </c>
      <c r="D542" s="12">
        <v>0.26798499999999997</v>
      </c>
      <c r="E542" s="12">
        <v>0.189112</v>
      </c>
      <c r="F542" s="12">
        <v>6.0513999999999998E-2</v>
      </c>
      <c r="G542" s="12">
        <v>3.0565999999999999E-2</v>
      </c>
      <c r="H542" s="12">
        <v>-6.0999999999999999E-2</v>
      </c>
      <c r="I542" s="12">
        <v>273.48419999999999</v>
      </c>
      <c r="J542" s="12">
        <v>2401.4259999999999</v>
      </c>
      <c r="K542" s="12">
        <v>0.24853800000000001</v>
      </c>
      <c r="L542" s="12">
        <v>0.74462499999999998</v>
      </c>
    </row>
    <row r="543" spans="2:12" ht="14.4" x14ac:dyDescent="0.55000000000000004">
      <c r="B543" s="12">
        <v>0.13002</v>
      </c>
      <c r="C543" s="12">
        <v>0.26608999999999999</v>
      </c>
      <c r="D543" s="12">
        <v>0.39785399999999999</v>
      </c>
      <c r="E543" s="12">
        <v>0.19988900000000001</v>
      </c>
      <c r="F543" s="12">
        <v>6.2747999999999998E-2</v>
      </c>
      <c r="G543" s="12">
        <v>1.4282E-2</v>
      </c>
      <c r="H543" s="12">
        <v>-0.11735</v>
      </c>
      <c r="I543" s="12">
        <v>260.48939999999999</v>
      </c>
      <c r="J543" s="12">
        <v>2332.404</v>
      </c>
      <c r="K543" s="12">
        <v>0.161583</v>
      </c>
      <c r="L543" s="12">
        <v>0.83718999999999999</v>
      </c>
    </row>
    <row r="754" spans="4:4" ht="14.4" x14ac:dyDescent="0.55000000000000004">
      <c r="D754" s="12">
        <v>0.54800099999999996</v>
      </c>
    </row>
    <row r="755" spans="4:4" ht="14.4" x14ac:dyDescent="0.55000000000000004">
      <c r="D755" s="12">
        <v>0.41398600000000002</v>
      </c>
    </row>
    <row r="756" spans="4:4" ht="14.4" x14ac:dyDescent="0.55000000000000004">
      <c r="D756" s="12">
        <v>0.47389100000000001</v>
      </c>
    </row>
    <row r="757" spans="4:4" ht="14.4" x14ac:dyDescent="0.55000000000000004">
      <c r="D757" s="12">
        <v>0.60303799999999996</v>
      </c>
    </row>
    <row r="758" spans="4:4" ht="14.4" x14ac:dyDescent="0.55000000000000004">
      <c r="D758" s="12">
        <v>0.406393</v>
      </c>
    </row>
    <row r="759" spans="4:4" ht="14.4" x14ac:dyDescent="0.55000000000000004">
      <c r="D759" s="12">
        <v>0.385745</v>
      </c>
    </row>
    <row r="760" spans="4:4" ht="14.4" x14ac:dyDescent="0.55000000000000004">
      <c r="D760" s="12">
        <v>0.607155</v>
      </c>
    </row>
    <row r="761" spans="4:4" ht="14.4" x14ac:dyDescent="0.55000000000000004">
      <c r="D761" s="12">
        <v>0.591692</v>
      </c>
    </row>
    <row r="762" spans="4:4" ht="14.4" x14ac:dyDescent="0.55000000000000004">
      <c r="D762" s="12">
        <v>0.62080800000000003</v>
      </c>
    </row>
    <row r="763" spans="4:4" ht="14.4" x14ac:dyDescent="0.55000000000000004">
      <c r="D763" s="12">
        <v>0.46113999999999999</v>
      </c>
    </row>
    <row r="764" spans="4:4" ht="14.4" x14ac:dyDescent="0.55000000000000004">
      <c r="D764" s="12">
        <v>0.57724900000000001</v>
      </c>
    </row>
    <row r="765" spans="4:4" ht="14.4" x14ac:dyDescent="0.55000000000000004">
      <c r="D765" s="12">
        <v>0.63368899999999995</v>
      </c>
    </row>
    <row r="856" spans="6:6" ht="14.4" x14ac:dyDescent="0.55000000000000004">
      <c r="F856" s="12">
        <v>0.47131000000000001</v>
      </c>
    </row>
    <row r="857" spans="6:6" ht="14.4" x14ac:dyDescent="0.55000000000000004">
      <c r="F857" s="12">
        <v>0.397422</v>
      </c>
    </row>
    <row r="858" spans="6:6" ht="14.4" x14ac:dyDescent="0.55000000000000004">
      <c r="F858" s="12">
        <v>0.48116199999999998</v>
      </c>
    </row>
    <row r="859" spans="6:6" ht="14.4" x14ac:dyDescent="0.55000000000000004">
      <c r="F859" s="12">
        <v>0.383963</v>
      </c>
    </row>
    <row r="860" spans="6:6" ht="14.4" x14ac:dyDescent="0.55000000000000004">
      <c r="F860" s="12">
        <v>0.394563</v>
      </c>
    </row>
    <row r="861" spans="6:6" ht="14.4" x14ac:dyDescent="0.55000000000000004">
      <c r="F861" s="12">
        <v>0.37726900000000002</v>
      </c>
    </row>
    <row r="862" spans="6:6" ht="14.4" x14ac:dyDescent="0.55000000000000004">
      <c r="F862" s="12">
        <v>0.46800700000000001</v>
      </c>
    </row>
    <row r="863" spans="6:6" ht="14.4" x14ac:dyDescent="0.55000000000000004">
      <c r="F863" s="12">
        <v>0.733985</v>
      </c>
    </row>
    <row r="864" spans="6:6" ht="14.4" x14ac:dyDescent="0.55000000000000004">
      <c r="F864" s="12">
        <v>0.66135299999999997</v>
      </c>
    </row>
    <row r="865" spans="6:6" ht="14.4" x14ac:dyDescent="0.55000000000000004">
      <c r="F865" s="12">
        <v>0.54572600000000004</v>
      </c>
    </row>
    <row r="866" spans="6:6" ht="14.4" x14ac:dyDescent="0.55000000000000004">
      <c r="F866" s="12">
        <v>0.45666600000000002</v>
      </c>
    </row>
    <row r="867" spans="6:6" ht="14.4" x14ac:dyDescent="0.55000000000000004">
      <c r="F867" s="12">
        <v>0.42496299999999998</v>
      </c>
    </row>
    <row r="1212" spans="4:4" ht="14.4" x14ac:dyDescent="0.55000000000000004">
      <c r="D1212" s="12">
        <v>0.52657900000000002</v>
      </c>
    </row>
    <row r="1213" spans="4:4" ht="14.4" x14ac:dyDescent="0.55000000000000004">
      <c r="D1213" s="12">
        <v>0.32907900000000001</v>
      </c>
    </row>
    <row r="1214" spans="4:4" ht="14.4" x14ac:dyDescent="0.55000000000000004">
      <c r="D1214" s="12">
        <v>0.48981400000000003</v>
      </c>
    </row>
    <row r="1215" spans="4:4" ht="14.4" x14ac:dyDescent="0.55000000000000004">
      <c r="D1215" s="12">
        <v>0.516791</v>
      </c>
    </row>
    <row r="1216" spans="4:4" ht="14.4" x14ac:dyDescent="0.55000000000000004">
      <c r="D1216" s="12">
        <v>0.40460800000000002</v>
      </c>
    </row>
    <row r="1217" spans="4:4" ht="14.4" x14ac:dyDescent="0.55000000000000004">
      <c r="D1217" s="12">
        <v>0.37195099999999998</v>
      </c>
    </row>
    <row r="1218" spans="4:4" ht="14.4" x14ac:dyDescent="0.55000000000000004">
      <c r="D1218" s="12">
        <v>0.43853300000000001</v>
      </c>
    </row>
    <row r="1219" spans="4:4" ht="14.4" x14ac:dyDescent="0.55000000000000004">
      <c r="D1219" s="12">
        <v>0.615815</v>
      </c>
    </row>
    <row r="1220" spans="4:4" ht="14.4" x14ac:dyDescent="0.55000000000000004">
      <c r="D1220" s="12">
        <v>0.654034</v>
      </c>
    </row>
    <row r="1221" spans="4:4" ht="14.4" x14ac:dyDescent="0.55000000000000004">
      <c r="D1221" s="12">
        <v>0.58416199999999996</v>
      </c>
    </row>
    <row r="1222" spans="4:4" ht="14.4" x14ac:dyDescent="0.55000000000000004">
      <c r="D1222" s="12">
        <v>0.48085099999999997</v>
      </c>
    </row>
    <row r="1223" spans="4:4" ht="14.4" x14ac:dyDescent="0.55000000000000004">
      <c r="D1223" s="12">
        <v>0.63705999999999996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Sabab Aosaf</dc:creator>
  <cp:lastModifiedBy>Sabab Aosaf</cp:lastModifiedBy>
  <dcterms:created xsi:type="dcterms:W3CDTF">2025-02-18T15:21:10Z</dcterms:created>
  <dcterms:modified xsi:type="dcterms:W3CDTF">2025-05-16T04:32:40Z</dcterms:modified>
</cp:coreProperties>
</file>